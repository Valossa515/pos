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olima/Documents/PECEGE/DIGITAL BUSINESS/ENGENHARIA DE SOFTWARE/"/>
    </mc:Choice>
  </mc:AlternateContent>
  <xr:revisionPtr revIDLastSave="0" documentId="13_ncr:1_{162101EA-4D51-5B4C-AC6C-563F5DEDC76F}" xr6:coauthVersionLast="47" xr6:coauthVersionMax="47" xr10:uidLastSave="{00000000-0000-0000-0000-000000000000}"/>
  <bookViews>
    <workbookView xWindow="280" yWindow="500" windowWidth="28240" windowHeight="16400" xr2:uid="{B87526FD-9EE1-A248-89A1-73BCC6C9B77E}"/>
  </bookViews>
  <sheets>
    <sheet name="Valuation Fluxo de Caixa Livre" sheetId="1" r:id="rId1"/>
    <sheet name="Valuation Startup - BERKUS" sheetId="3" r:id="rId2"/>
    <sheet name="Valuation Startup - Fluxo Caix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C4" i="4"/>
  <c r="G3" i="4" s="1"/>
  <c r="H3" i="4" s="1"/>
  <c r="I3" i="4" s="1"/>
  <c r="J3" i="4" s="1"/>
  <c r="K3" i="4" s="1"/>
  <c r="C7" i="4"/>
  <c r="C9" i="4"/>
  <c r="C10" i="4"/>
  <c r="C13" i="4"/>
  <c r="C14" i="4"/>
  <c r="C15" i="4"/>
  <c r="C16" i="4"/>
  <c r="C17" i="4"/>
  <c r="C3" i="4"/>
  <c r="B5" i="4"/>
  <c r="C5" i="4" s="1"/>
  <c r="C32" i="3"/>
  <c r="C39" i="3" s="1"/>
  <c r="D39" i="3" s="1"/>
  <c r="C26" i="3"/>
  <c r="C38" i="3" s="1"/>
  <c r="D38" i="3" s="1"/>
  <c r="C20" i="3"/>
  <c r="C37" i="3" s="1"/>
  <c r="D37" i="3" s="1"/>
  <c r="C14" i="3"/>
  <c r="C36" i="3" s="1"/>
  <c r="D36" i="3" s="1"/>
  <c r="C8" i="3"/>
  <c r="C35" i="3" s="1"/>
  <c r="D35" i="3" s="1"/>
  <c r="D40" i="3" l="1"/>
  <c r="B11" i="4"/>
  <c r="B18" i="4" l="1"/>
  <c r="C18" i="4" s="1"/>
  <c r="C11" i="4"/>
</calcChain>
</file>

<file path=xl/sharedStrings.xml><?xml version="1.0" encoding="utf-8"?>
<sst xmlns="http://schemas.openxmlformats.org/spreadsheetml/2006/main" count="95" uniqueCount="82">
  <si>
    <t>Parâmetros (PREMISSAS) do Valuation</t>
  </si>
  <si>
    <t>Lucro Bruto</t>
  </si>
  <si>
    <t>Receita de Vendas (R$ mil)</t>
  </si>
  <si>
    <t>Valor Médio Anual</t>
  </si>
  <si>
    <t>Margem EBITDA (% das Vendas)</t>
  </si>
  <si>
    <t>Depreciação (% das Vendas)</t>
  </si>
  <si>
    <t>Alíquota de IR</t>
  </si>
  <si>
    <t xml:space="preserve">Taxa de Crescimento do Período Explícito </t>
  </si>
  <si>
    <t>Taxa de Crescimento na Perpetuidade</t>
  </si>
  <si>
    <t>CAPITAL FIXO (% das Vendas)</t>
  </si>
  <si>
    <t>CAPITAL DE GIRO (% das Vendas)</t>
  </si>
  <si>
    <t>Ano 1</t>
  </si>
  <si>
    <t>Ano 2</t>
  </si>
  <si>
    <t>Ano 3</t>
  </si>
  <si>
    <t>Ano 4</t>
  </si>
  <si>
    <t>Ano 5</t>
  </si>
  <si>
    <t>PERPET</t>
  </si>
  <si>
    <t>FLUXO DE CAIXA LIVRE DA EMPRESA</t>
  </si>
  <si>
    <t>Valuation de Startup</t>
  </si>
  <si>
    <t>MÉTODO BERKUS</t>
  </si>
  <si>
    <t>1. IDÉIA/PRODUTO/SOLUÇÃO</t>
  </si>
  <si>
    <t>Negócio Inovador</t>
  </si>
  <si>
    <t>Base Tecnológica Estável</t>
  </si>
  <si>
    <t>Possui Clientes Utilizando</t>
  </si>
  <si>
    <t>Possui Algum Faturamento</t>
  </si>
  <si>
    <t>MÉDIA</t>
  </si>
  <si>
    <t>2. ESTÁGIO DO NEGÓCIO</t>
  </si>
  <si>
    <t>Possui Usuários Recorrentes</t>
  </si>
  <si>
    <t>MVP Disponível na Play/Apple Store</t>
  </si>
  <si>
    <t>Possui Validação Comprovada do Ticket Médio</t>
  </si>
  <si>
    <t>Possui Faturamento Mensal de R$ 15 mil</t>
  </si>
  <si>
    <t>3. TIME GERENCIAL (EQUIPE)</t>
  </si>
  <si>
    <t>Sócio com atuação 100% do Tempo no Negócio</t>
  </si>
  <si>
    <t>Sócios já fundaram outras Startups</t>
  </si>
  <si>
    <t>Possui CTO - Chief Technology Officer</t>
  </si>
  <si>
    <t>Possui Conhecimento/Experiência no Segmento</t>
  </si>
  <si>
    <t>4. MERCADO (GO-TO-MARKET)</t>
  </si>
  <si>
    <t>Forma de Atuação - Local/Global</t>
  </si>
  <si>
    <t xml:space="preserve">Escalabilidade </t>
  </si>
  <si>
    <t>Possui Margem Bruta Acima de 50%</t>
  </si>
  <si>
    <t>CAC/LTV acima 5x</t>
  </si>
  <si>
    <t>5. ESTRUTURA</t>
  </si>
  <si>
    <t>Empreendedor possui PITCH</t>
  </si>
  <si>
    <t>Possui Estrutura Mínima de Apoio - Jurídica ex</t>
  </si>
  <si>
    <t>Já passou por aceleração</t>
  </si>
  <si>
    <t>Gera Caixa Suficiente para manter a operação</t>
  </si>
  <si>
    <t>RESUMO</t>
  </si>
  <si>
    <t>1. Idéia/Produto/Solução</t>
  </si>
  <si>
    <t>2. Estágio do Negócio</t>
  </si>
  <si>
    <t>3. Time Gerencial (Equipe)</t>
  </si>
  <si>
    <t>4. Mercado (go-to-market)</t>
  </si>
  <si>
    <t>5. Estrutura</t>
  </si>
  <si>
    <t>Médias</t>
  </si>
  <si>
    <t>Valores</t>
  </si>
  <si>
    <t>R$ 0 - R$ 2 mi</t>
  </si>
  <si>
    <t>VALOR FINAL</t>
  </si>
  <si>
    <t>DEMONSTRAÇÃO DE RESULTADO</t>
  </si>
  <si>
    <t>Receita Bruta de Vendas</t>
  </si>
  <si>
    <t>R$ mil</t>
  </si>
  <si>
    <t>(-) Impostos Comerciais</t>
  </si>
  <si>
    <t xml:space="preserve">Receita Líquida de Vendas </t>
  </si>
  <si>
    <t>(-) Custos Variáveis</t>
  </si>
  <si>
    <t>(-) Equipe Operacional</t>
  </si>
  <si>
    <t>(-) Custos Fixos - Pessoal</t>
  </si>
  <si>
    <t>(-) Equipe de Conteúdo</t>
  </si>
  <si>
    <t>(-) Equipe de TI</t>
  </si>
  <si>
    <t>(-) Despesas Operacionais</t>
  </si>
  <si>
    <t>(-) Ferramenta on line</t>
  </si>
  <si>
    <t>(-) Salários</t>
  </si>
  <si>
    <t>(-) Aluguel</t>
  </si>
  <si>
    <t>(-) Marketing</t>
  </si>
  <si>
    <t>(-) CAC - Custo de Aquisição de Clientes</t>
  </si>
  <si>
    <t>Lucro Líquido</t>
  </si>
  <si>
    <t>Taxa de Crescimento das Receitas</t>
  </si>
  <si>
    <t>Impostos Comerciais</t>
  </si>
  <si>
    <t>Taxa de Crescimento Custos Variáveis</t>
  </si>
  <si>
    <t>Taxa de Aumento de Salários</t>
  </si>
  <si>
    <t>Investimentos em Marketing</t>
  </si>
  <si>
    <t>CAC - Custo de Aquisição de Clientes</t>
  </si>
  <si>
    <t>CAPEX + Giro (% da Receita Bruta)</t>
  </si>
  <si>
    <t>Ano Atual</t>
  </si>
  <si>
    <t>Taxa de Crescimento Custos/Desp. Operac Fixos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</si>
</sst>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0"/>
      <name val="Calibri (Corpo)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44" fontId="0" fillId="0" borderId="0" xfId="1" applyFont="1"/>
    <xf numFmtId="0" fontId="3" fillId="0" borderId="0" xfId="0" applyFont="1"/>
    <xf numFmtId="44" fontId="3" fillId="0" borderId="0" xfId="0" applyNumberFormat="1" applyFont="1"/>
    <xf numFmtId="44" fontId="3" fillId="0" borderId="0" xfId="1" applyFont="1"/>
    <xf numFmtId="0" fontId="4" fillId="2" borderId="0" xfId="0" applyFont="1" applyFill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2" applyNumberFormat="1" applyFont="1" applyAlignment="1">
      <alignment horizontal="center"/>
    </xf>
    <xf numFmtId="44" fontId="0" fillId="0" borderId="0" xfId="0" applyNumberFormat="1"/>
    <xf numFmtId="10" fontId="0" fillId="0" borderId="0" xfId="2" applyNumberFormat="1" applyFont="1"/>
    <xf numFmtId="164" fontId="0" fillId="0" borderId="0" xfId="0" applyNumberFormat="1" applyAlignment="1">
      <alignment horizontal="center"/>
    </xf>
    <xf numFmtId="0" fontId="2" fillId="2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3" borderId="0" xfId="0" applyFill="1"/>
    <xf numFmtId="0" fontId="6" fillId="0" borderId="0" xfId="0" applyFont="1"/>
    <xf numFmtId="10" fontId="0" fillId="6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/>
    </xf>
    <xf numFmtId="0" fontId="0" fillId="6" borderId="4" xfId="0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4" fontId="1" fillId="0" borderId="0" xfId="1" applyFont="1"/>
    <xf numFmtId="0" fontId="0" fillId="0" borderId="0" xfId="0" applyAlignment="1">
      <alignment horizontal="left" indent="2"/>
    </xf>
    <xf numFmtId="0" fontId="6" fillId="0" borderId="0" xfId="0" applyFont="1" applyAlignment="1">
      <alignment horizontal="left"/>
    </xf>
    <xf numFmtId="10" fontId="3" fillId="0" borderId="0" xfId="2" applyNumberFormat="1" applyFont="1"/>
    <xf numFmtId="9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E25F4-C820-5C4C-AD80-2AF2F9B71787}">
  <dimension ref="A1:B9"/>
  <sheetViews>
    <sheetView tabSelected="1" zoomScaleNormal="100" workbookViewId="0">
      <selection activeCell="F14" sqref="F14"/>
    </sheetView>
  </sheetViews>
  <sheetFormatPr baseColWidth="10" defaultRowHeight="16" x14ac:dyDescent="0.2"/>
  <cols>
    <col min="1" max="1" width="38.33203125" bestFit="1" customWidth="1"/>
    <col min="2" max="2" width="16.5" bestFit="1" customWidth="1"/>
    <col min="3" max="8" width="12.1640625" bestFit="1" customWidth="1"/>
  </cols>
  <sheetData>
    <row r="1" spans="1:2" x14ac:dyDescent="0.2">
      <c r="A1" s="5" t="s">
        <v>0</v>
      </c>
      <c r="B1" s="5" t="s">
        <v>3</v>
      </c>
    </row>
    <row r="2" spans="1:2" x14ac:dyDescent="0.2">
      <c r="A2" t="s">
        <v>2</v>
      </c>
      <c r="B2" s="1">
        <v>1200</v>
      </c>
    </row>
    <row r="3" spans="1:2" x14ac:dyDescent="0.2">
      <c r="A3" t="s">
        <v>4</v>
      </c>
      <c r="B3" s="6">
        <v>0.12</v>
      </c>
    </row>
    <row r="4" spans="1:2" x14ac:dyDescent="0.2">
      <c r="A4" t="s">
        <v>5</v>
      </c>
      <c r="B4" s="8">
        <v>0.02</v>
      </c>
    </row>
    <row r="5" spans="1:2" x14ac:dyDescent="0.2">
      <c r="A5" t="s">
        <v>6</v>
      </c>
      <c r="B5" s="8">
        <v>0.34</v>
      </c>
    </row>
    <row r="6" spans="1:2" x14ac:dyDescent="0.2">
      <c r="A6" t="s">
        <v>7</v>
      </c>
      <c r="B6" s="8">
        <v>0.05</v>
      </c>
    </row>
    <row r="7" spans="1:2" x14ac:dyDescent="0.2">
      <c r="A7" t="s">
        <v>8</v>
      </c>
      <c r="B7" s="8">
        <v>2.5000000000000001E-2</v>
      </c>
    </row>
    <row r="8" spans="1:2" x14ac:dyDescent="0.2">
      <c r="A8" t="s">
        <v>10</v>
      </c>
      <c r="B8" s="6">
        <v>0.2</v>
      </c>
    </row>
    <row r="9" spans="1:2" x14ac:dyDescent="0.2">
      <c r="A9" t="s">
        <v>9</v>
      </c>
      <c r="B9" s="8">
        <v>0.4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925C-E8A1-164F-9BC1-782C1CADE529}">
  <dimension ref="A1:D40"/>
  <sheetViews>
    <sheetView topLeftCell="A27" zoomScaleNormal="100" workbookViewId="0">
      <selection activeCell="C32" sqref="C32"/>
    </sheetView>
  </sheetViews>
  <sheetFormatPr baseColWidth="10" defaultRowHeight="16" x14ac:dyDescent="0.2"/>
  <cols>
    <col min="1" max="1" width="27.33203125" bestFit="1" customWidth="1"/>
    <col min="2" max="2" width="41" bestFit="1" customWidth="1"/>
    <col min="4" max="4" width="12.83203125" bestFit="1" customWidth="1"/>
  </cols>
  <sheetData>
    <row r="1" spans="1:3" x14ac:dyDescent="0.2">
      <c r="A1" t="s">
        <v>18</v>
      </c>
    </row>
    <row r="2" spans="1:3" x14ac:dyDescent="0.2">
      <c r="A2" s="34" t="s">
        <v>19</v>
      </c>
      <c r="B2" s="35"/>
      <c r="C2" s="35"/>
    </row>
    <row r="4" spans="1:3" x14ac:dyDescent="0.2">
      <c r="A4" s="36" t="s">
        <v>20</v>
      </c>
      <c r="B4" s="19" t="s">
        <v>21</v>
      </c>
      <c r="C4" s="20">
        <v>0</v>
      </c>
    </row>
    <row r="5" spans="1:3" x14ac:dyDescent="0.2">
      <c r="A5" s="36"/>
      <c r="B5" s="19" t="s">
        <v>22</v>
      </c>
      <c r="C5" s="20">
        <v>0</v>
      </c>
    </row>
    <row r="6" spans="1:3" x14ac:dyDescent="0.2">
      <c r="A6" s="36"/>
      <c r="B6" s="19" t="s">
        <v>23</v>
      </c>
      <c r="C6" s="20">
        <v>0</v>
      </c>
    </row>
    <row r="7" spans="1:3" ht="17" thickBot="1" x14ac:dyDescent="0.25">
      <c r="A7" s="36"/>
      <c r="B7" s="21" t="s">
        <v>24</v>
      </c>
      <c r="C7" s="22">
        <v>0</v>
      </c>
    </row>
    <row r="8" spans="1:3" ht="17" thickBot="1" x14ac:dyDescent="0.25">
      <c r="B8" s="23" t="s">
        <v>25</v>
      </c>
      <c r="C8" s="24">
        <f>AVERAGE(C4:C7)</f>
        <v>0</v>
      </c>
    </row>
    <row r="10" spans="1:3" x14ac:dyDescent="0.2">
      <c r="A10" s="36" t="s">
        <v>26</v>
      </c>
      <c r="B10" s="19" t="s">
        <v>27</v>
      </c>
      <c r="C10" s="20">
        <v>0</v>
      </c>
    </row>
    <row r="11" spans="1:3" x14ac:dyDescent="0.2">
      <c r="A11" s="36"/>
      <c r="B11" s="19" t="s">
        <v>28</v>
      </c>
      <c r="C11" s="20">
        <v>0</v>
      </c>
    </row>
    <row r="12" spans="1:3" x14ac:dyDescent="0.2">
      <c r="A12" s="36"/>
      <c r="B12" s="19" t="s">
        <v>29</v>
      </c>
      <c r="C12" s="20">
        <v>0</v>
      </c>
    </row>
    <row r="13" spans="1:3" ht="17" thickBot="1" x14ac:dyDescent="0.25">
      <c r="A13" s="36"/>
      <c r="B13" s="21" t="s">
        <v>30</v>
      </c>
      <c r="C13" s="22">
        <v>0</v>
      </c>
    </row>
    <row r="14" spans="1:3" ht="17" thickBot="1" x14ac:dyDescent="0.25">
      <c r="B14" s="25" t="s">
        <v>25</v>
      </c>
      <c r="C14" s="24">
        <f>AVERAGE(C10:C13)</f>
        <v>0</v>
      </c>
    </row>
    <row r="16" spans="1:3" x14ac:dyDescent="0.2">
      <c r="A16" s="37" t="s">
        <v>31</v>
      </c>
      <c r="B16" s="19" t="s">
        <v>32</v>
      </c>
      <c r="C16" s="20">
        <v>0</v>
      </c>
    </row>
    <row r="17" spans="1:3" x14ac:dyDescent="0.2">
      <c r="A17" s="38"/>
      <c r="B17" s="19" t="s">
        <v>33</v>
      </c>
      <c r="C17" s="20">
        <v>0</v>
      </c>
    </row>
    <row r="18" spans="1:3" x14ac:dyDescent="0.2">
      <c r="A18" s="38"/>
      <c r="B18" s="19" t="s">
        <v>34</v>
      </c>
      <c r="C18" s="20">
        <v>0</v>
      </c>
    </row>
    <row r="19" spans="1:3" ht="17" thickBot="1" x14ac:dyDescent="0.25">
      <c r="A19" s="39"/>
      <c r="B19" s="21" t="s">
        <v>35</v>
      </c>
      <c r="C19" s="22">
        <v>0</v>
      </c>
    </row>
    <row r="20" spans="1:3" ht="17" thickBot="1" x14ac:dyDescent="0.25">
      <c r="B20" s="23" t="s">
        <v>25</v>
      </c>
      <c r="C20" s="24">
        <f>AVERAGE(C16:C19)</f>
        <v>0</v>
      </c>
    </row>
    <row r="22" spans="1:3" x14ac:dyDescent="0.2">
      <c r="A22" s="37" t="s">
        <v>36</v>
      </c>
      <c r="B22" s="19" t="s">
        <v>37</v>
      </c>
      <c r="C22" s="20">
        <v>0</v>
      </c>
    </row>
    <row r="23" spans="1:3" x14ac:dyDescent="0.2">
      <c r="A23" s="38"/>
      <c r="B23" s="19" t="s">
        <v>38</v>
      </c>
      <c r="C23" s="20">
        <v>0</v>
      </c>
    </row>
    <row r="24" spans="1:3" x14ac:dyDescent="0.2">
      <c r="A24" s="38"/>
      <c r="B24" s="19" t="s">
        <v>39</v>
      </c>
      <c r="C24" s="20">
        <v>0</v>
      </c>
    </row>
    <row r="25" spans="1:3" ht="17" thickBot="1" x14ac:dyDescent="0.25">
      <c r="A25" s="39"/>
      <c r="B25" s="21" t="s">
        <v>40</v>
      </c>
      <c r="C25" s="22">
        <v>0</v>
      </c>
    </row>
    <row r="26" spans="1:3" ht="17" thickBot="1" x14ac:dyDescent="0.25">
      <c r="B26" s="23" t="s">
        <v>25</v>
      </c>
      <c r="C26" s="24">
        <f>AVERAGE(C22:C25)</f>
        <v>0</v>
      </c>
    </row>
    <row r="28" spans="1:3" x14ac:dyDescent="0.2">
      <c r="A28" s="37" t="s">
        <v>41</v>
      </c>
      <c r="B28" s="19" t="s">
        <v>42</v>
      </c>
      <c r="C28" s="20">
        <v>0</v>
      </c>
    </row>
    <row r="29" spans="1:3" x14ac:dyDescent="0.2">
      <c r="A29" s="38"/>
      <c r="B29" s="19" t="s">
        <v>43</v>
      </c>
      <c r="C29" s="20">
        <v>0</v>
      </c>
    </row>
    <row r="30" spans="1:3" x14ac:dyDescent="0.2">
      <c r="A30" s="38"/>
      <c r="B30" s="19" t="s">
        <v>44</v>
      </c>
      <c r="C30" s="20">
        <v>0</v>
      </c>
    </row>
    <row r="31" spans="1:3" ht="17" thickBot="1" x14ac:dyDescent="0.25">
      <c r="A31" s="39"/>
      <c r="B31" s="19" t="s">
        <v>45</v>
      </c>
      <c r="C31" s="20">
        <v>0</v>
      </c>
    </row>
    <row r="32" spans="1:3" ht="17" thickBot="1" x14ac:dyDescent="0.25">
      <c r="B32" s="23" t="s">
        <v>25</v>
      </c>
      <c r="C32" s="24">
        <f>AVERAGE(C28:C31)</f>
        <v>0</v>
      </c>
    </row>
    <row r="33" spans="2:4" x14ac:dyDescent="0.2">
      <c r="D33" t="s">
        <v>54</v>
      </c>
    </row>
    <row r="34" spans="2:4" x14ac:dyDescent="0.2">
      <c r="B34" t="s">
        <v>46</v>
      </c>
      <c r="C34" s="7" t="s">
        <v>52</v>
      </c>
      <c r="D34" s="7" t="s">
        <v>53</v>
      </c>
    </row>
    <row r="35" spans="2:4" x14ac:dyDescent="0.2">
      <c r="B35" t="s">
        <v>47</v>
      </c>
      <c r="C35" s="11">
        <f>C8</f>
        <v>0</v>
      </c>
      <c r="D35" s="1">
        <f>C35*2000</f>
        <v>0</v>
      </c>
    </row>
    <row r="36" spans="2:4" x14ac:dyDescent="0.2">
      <c r="B36" t="s">
        <v>48</v>
      </c>
      <c r="C36" s="11">
        <f>C14</f>
        <v>0</v>
      </c>
      <c r="D36" s="1">
        <f t="shared" ref="D36:D39" si="0">C36*2000</f>
        <v>0</v>
      </c>
    </row>
    <row r="37" spans="2:4" x14ac:dyDescent="0.2">
      <c r="B37" t="s">
        <v>49</v>
      </c>
      <c r="C37" s="11">
        <f>C20</f>
        <v>0</v>
      </c>
      <c r="D37" s="1">
        <f t="shared" si="0"/>
        <v>0</v>
      </c>
    </row>
    <row r="38" spans="2:4" x14ac:dyDescent="0.2">
      <c r="B38" t="s">
        <v>50</v>
      </c>
      <c r="C38" s="11">
        <f>C26</f>
        <v>0</v>
      </c>
      <c r="D38" s="1">
        <f t="shared" si="0"/>
        <v>0</v>
      </c>
    </row>
    <row r="39" spans="2:4" x14ac:dyDescent="0.2">
      <c r="B39" t="s">
        <v>51</v>
      </c>
      <c r="C39" s="11">
        <f>C32</f>
        <v>0</v>
      </c>
      <c r="D39" s="1">
        <f t="shared" si="0"/>
        <v>0</v>
      </c>
    </row>
    <row r="40" spans="2:4" x14ac:dyDescent="0.2">
      <c r="B40" s="33" t="s">
        <v>55</v>
      </c>
      <c r="C40" s="33"/>
      <c r="D40" s="3">
        <f>SUM(D35:D39)</f>
        <v>0</v>
      </c>
    </row>
  </sheetData>
  <mergeCells count="7">
    <mergeCell ref="B40:C40"/>
    <mergeCell ref="A2:C2"/>
    <mergeCell ref="A4:A7"/>
    <mergeCell ref="A10:A13"/>
    <mergeCell ref="A16:A19"/>
    <mergeCell ref="A22:A25"/>
    <mergeCell ref="A28:A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4FF6-70B6-9B4A-BC38-E224221BE8EF}">
  <dimension ref="A1:L18"/>
  <sheetViews>
    <sheetView zoomScale="125" zoomScaleNormal="125" workbookViewId="0">
      <selection activeCell="H17" sqref="H17"/>
    </sheetView>
  </sheetViews>
  <sheetFormatPr baseColWidth="10" defaultRowHeight="16" x14ac:dyDescent="0.2"/>
  <cols>
    <col min="1" max="1" width="36.6640625" bestFit="1" customWidth="1"/>
    <col min="2" max="2" width="13.1640625" bestFit="1" customWidth="1"/>
    <col min="3" max="3" width="8.1640625" bestFit="1" customWidth="1"/>
    <col min="4" max="4" width="2" customWidth="1"/>
    <col min="5" max="5" width="33" bestFit="1" customWidth="1"/>
    <col min="6" max="7" width="12.1640625" bestFit="1" customWidth="1"/>
    <col min="8" max="11" width="13.1640625" bestFit="1" customWidth="1"/>
    <col min="12" max="12" width="13.33203125" bestFit="1" customWidth="1"/>
  </cols>
  <sheetData>
    <row r="1" spans="1:12" x14ac:dyDescent="0.2">
      <c r="B1" t="s">
        <v>58</v>
      </c>
      <c r="E1" s="40" t="s">
        <v>0</v>
      </c>
      <c r="F1" s="40"/>
      <c r="G1" s="13" t="s">
        <v>11</v>
      </c>
      <c r="H1" s="13" t="s">
        <v>12</v>
      </c>
      <c r="I1" s="13" t="s">
        <v>13</v>
      </c>
      <c r="J1" s="13" t="s">
        <v>14</v>
      </c>
      <c r="K1" s="13" t="s">
        <v>15</v>
      </c>
      <c r="L1" s="14" t="s">
        <v>16</v>
      </c>
    </row>
    <row r="2" spans="1:12" x14ac:dyDescent="0.2">
      <c r="A2" s="32" t="s">
        <v>56</v>
      </c>
      <c r="B2" s="32"/>
      <c r="E2" s="41" t="s">
        <v>73</v>
      </c>
      <c r="F2" s="41"/>
      <c r="G2" s="30">
        <v>2</v>
      </c>
      <c r="H2" s="30">
        <v>2</v>
      </c>
      <c r="I2" s="30">
        <v>1</v>
      </c>
      <c r="J2" s="30">
        <v>1</v>
      </c>
      <c r="K2" s="30">
        <v>0.55000000000000004</v>
      </c>
      <c r="L2" s="15"/>
    </row>
    <row r="3" spans="1:12" x14ac:dyDescent="0.2">
      <c r="A3" s="2" t="s">
        <v>57</v>
      </c>
      <c r="B3" s="4">
        <v>1250</v>
      </c>
      <c r="C3" s="29">
        <f>B3/$B$3</f>
        <v>1</v>
      </c>
      <c r="E3" s="41" t="s">
        <v>74</v>
      </c>
      <c r="F3" s="41"/>
      <c r="G3" s="17">
        <f>C4</f>
        <v>0.1216</v>
      </c>
      <c r="H3" s="17">
        <f>G3</f>
        <v>0.1216</v>
      </c>
      <c r="I3" s="17">
        <f>H3</f>
        <v>0.1216</v>
      </c>
      <c r="J3" s="17">
        <f>I3</f>
        <v>0.1216</v>
      </c>
      <c r="K3" s="17">
        <f>J3</f>
        <v>0.1216</v>
      </c>
      <c r="L3" s="15"/>
    </row>
    <row r="4" spans="1:12" x14ac:dyDescent="0.2">
      <c r="A4" t="s">
        <v>59</v>
      </c>
      <c r="B4" s="26">
        <v>152</v>
      </c>
      <c r="C4" s="10">
        <f t="shared" ref="C4:C17" si="0">B4/$B$3</f>
        <v>0.1216</v>
      </c>
      <c r="E4" s="41" t="s">
        <v>75</v>
      </c>
      <c r="F4" s="41"/>
      <c r="G4" s="30">
        <v>2</v>
      </c>
      <c r="H4" s="30">
        <v>2</v>
      </c>
      <c r="I4" s="30">
        <v>1</v>
      </c>
      <c r="J4" s="30">
        <v>1</v>
      </c>
      <c r="K4" s="30">
        <f>K2</f>
        <v>0.55000000000000004</v>
      </c>
      <c r="L4" s="15"/>
    </row>
    <row r="5" spans="1:12" x14ac:dyDescent="0.2">
      <c r="A5" s="2" t="s">
        <v>60</v>
      </c>
      <c r="B5" s="4">
        <f>B3-B4</f>
        <v>1098</v>
      </c>
      <c r="C5" s="29">
        <f t="shared" si="0"/>
        <v>0.87839999999999996</v>
      </c>
      <c r="E5" s="41" t="s">
        <v>81</v>
      </c>
      <c r="F5" s="41"/>
      <c r="G5" s="30">
        <v>2</v>
      </c>
      <c r="H5" s="30">
        <v>2</v>
      </c>
      <c r="I5" s="30">
        <v>1</v>
      </c>
      <c r="J5" s="30">
        <v>1</v>
      </c>
      <c r="K5" s="30">
        <v>1</v>
      </c>
      <c r="L5" s="15"/>
    </row>
    <row r="6" spans="1:12" x14ac:dyDescent="0.2">
      <c r="A6" s="16" t="s">
        <v>61</v>
      </c>
      <c r="B6" s="4"/>
      <c r="C6" s="10"/>
      <c r="E6" s="41" t="s">
        <v>76</v>
      </c>
      <c r="F6" s="41"/>
      <c r="G6" s="30">
        <v>1</v>
      </c>
      <c r="H6" s="30">
        <v>1</v>
      </c>
      <c r="I6" s="30">
        <v>0.1</v>
      </c>
      <c r="J6" s="30">
        <v>0.1</v>
      </c>
      <c r="K6" s="30">
        <v>0.1</v>
      </c>
      <c r="L6" s="15"/>
    </row>
    <row r="7" spans="1:12" x14ac:dyDescent="0.2">
      <c r="A7" s="27" t="s">
        <v>62</v>
      </c>
      <c r="B7" s="26">
        <v>540</v>
      </c>
      <c r="C7" s="10">
        <f t="shared" si="0"/>
        <v>0.432</v>
      </c>
      <c r="E7" s="41" t="s">
        <v>77</v>
      </c>
      <c r="F7" s="41"/>
      <c r="G7" s="30">
        <v>1</v>
      </c>
      <c r="H7" s="30">
        <v>1</v>
      </c>
      <c r="I7" s="30">
        <v>0.1</v>
      </c>
      <c r="J7" s="30">
        <v>0.1</v>
      </c>
      <c r="K7" s="30">
        <v>0.1</v>
      </c>
      <c r="L7" s="15"/>
    </row>
    <row r="8" spans="1:12" x14ac:dyDescent="0.2">
      <c r="A8" s="16" t="s">
        <v>63</v>
      </c>
      <c r="B8" s="4"/>
      <c r="C8" s="10"/>
      <c r="E8" s="41" t="s">
        <v>78</v>
      </c>
      <c r="F8" s="41"/>
      <c r="G8" s="30">
        <v>0.1</v>
      </c>
      <c r="H8" s="30">
        <v>2</v>
      </c>
      <c r="I8" s="30">
        <v>1</v>
      </c>
      <c r="J8" s="30">
        <v>1</v>
      </c>
      <c r="K8" s="30">
        <v>0.1</v>
      </c>
      <c r="L8" s="15"/>
    </row>
    <row r="9" spans="1:12" x14ac:dyDescent="0.2">
      <c r="A9" s="27" t="s">
        <v>64</v>
      </c>
      <c r="B9" s="26">
        <v>40</v>
      </c>
      <c r="C9" s="10">
        <f t="shared" si="0"/>
        <v>3.2000000000000001E-2</v>
      </c>
      <c r="E9" s="41" t="s">
        <v>6</v>
      </c>
      <c r="F9" s="41"/>
      <c r="G9" s="30">
        <v>0.1</v>
      </c>
      <c r="H9" s="30">
        <v>0.34</v>
      </c>
      <c r="I9" s="30">
        <v>0.34</v>
      </c>
      <c r="J9" s="30">
        <v>0.34</v>
      </c>
      <c r="K9" s="30">
        <v>0.34</v>
      </c>
      <c r="L9" s="15"/>
    </row>
    <row r="10" spans="1:12" x14ac:dyDescent="0.2">
      <c r="A10" s="27" t="s">
        <v>65</v>
      </c>
      <c r="B10" s="26">
        <v>80</v>
      </c>
      <c r="C10" s="10">
        <f t="shared" si="0"/>
        <v>6.4000000000000001E-2</v>
      </c>
      <c r="E10" s="41" t="s">
        <v>79</v>
      </c>
      <c r="F10" s="41"/>
      <c r="G10" s="30">
        <v>0.05</v>
      </c>
      <c r="H10" s="30">
        <v>0.05</v>
      </c>
      <c r="I10" s="30">
        <v>0.05</v>
      </c>
      <c r="J10" s="30">
        <v>0.05</v>
      </c>
      <c r="K10" s="30">
        <v>0.05</v>
      </c>
      <c r="L10" s="15"/>
    </row>
    <row r="11" spans="1:12" x14ac:dyDescent="0.2">
      <c r="A11" s="2" t="s">
        <v>1</v>
      </c>
      <c r="B11" s="4">
        <f>B5-SUM(B7:B10)</f>
        <v>438</v>
      </c>
      <c r="C11" s="29">
        <f t="shared" si="0"/>
        <v>0.35039999999999999</v>
      </c>
      <c r="E11" s="41" t="s">
        <v>8</v>
      </c>
      <c r="F11" s="41"/>
      <c r="L11" s="18">
        <v>0.06</v>
      </c>
    </row>
    <row r="12" spans="1:12" x14ac:dyDescent="0.2">
      <c r="A12" s="28" t="s">
        <v>66</v>
      </c>
      <c r="B12" s="4"/>
      <c r="C12" s="10"/>
    </row>
    <row r="13" spans="1:12" x14ac:dyDescent="0.2">
      <c r="A13" s="27" t="s">
        <v>67</v>
      </c>
      <c r="B13" s="26">
        <v>28</v>
      </c>
      <c r="C13" s="10">
        <f t="shared" si="0"/>
        <v>2.24E-2</v>
      </c>
      <c r="E13" s="12" t="s">
        <v>17</v>
      </c>
      <c r="F13" s="31" t="s">
        <v>80</v>
      </c>
      <c r="G13" s="13" t="s">
        <v>11</v>
      </c>
      <c r="H13" s="13" t="s">
        <v>12</v>
      </c>
      <c r="I13" s="13" t="s">
        <v>13</v>
      </c>
      <c r="J13" s="13" t="s">
        <v>14</v>
      </c>
      <c r="K13" s="13" t="s">
        <v>15</v>
      </c>
      <c r="L13" s="14" t="s">
        <v>16</v>
      </c>
    </row>
    <row r="14" spans="1:12" x14ac:dyDescent="0.2">
      <c r="A14" s="27" t="s">
        <v>68</v>
      </c>
      <c r="B14" s="26">
        <v>120</v>
      </c>
      <c r="C14" s="10">
        <f t="shared" si="0"/>
        <v>9.6000000000000002E-2</v>
      </c>
      <c r="E14" s="2"/>
      <c r="F14" s="9"/>
      <c r="G14" s="3"/>
      <c r="H14" s="3"/>
      <c r="I14" s="3"/>
      <c r="J14" s="3"/>
      <c r="K14" s="3"/>
    </row>
    <row r="15" spans="1:12" x14ac:dyDescent="0.2">
      <c r="A15" s="27" t="s">
        <v>69</v>
      </c>
      <c r="B15" s="26">
        <v>30</v>
      </c>
      <c r="C15" s="10">
        <f t="shared" si="0"/>
        <v>2.4E-2</v>
      </c>
      <c r="G15" s="9"/>
      <c r="H15" s="9"/>
      <c r="I15" s="9"/>
      <c r="J15" s="9"/>
      <c r="K15" s="9"/>
    </row>
    <row r="16" spans="1:12" x14ac:dyDescent="0.2">
      <c r="A16" s="27" t="s">
        <v>70</v>
      </c>
      <c r="B16" s="26">
        <v>110</v>
      </c>
      <c r="C16" s="10">
        <f t="shared" si="0"/>
        <v>8.7999999999999995E-2</v>
      </c>
      <c r="E16" s="2"/>
      <c r="G16" s="3"/>
      <c r="H16" s="3"/>
      <c r="I16" s="3"/>
      <c r="J16" s="3"/>
      <c r="K16" s="3"/>
    </row>
    <row r="17" spans="1:11" x14ac:dyDescent="0.2">
      <c r="A17" s="27" t="s">
        <v>71</v>
      </c>
      <c r="B17" s="26">
        <v>70</v>
      </c>
      <c r="C17" s="10">
        <f t="shared" si="0"/>
        <v>5.6000000000000001E-2</v>
      </c>
      <c r="F17" s="9"/>
      <c r="G17" s="9"/>
      <c r="H17" s="9"/>
      <c r="I17" s="9"/>
      <c r="J17" s="9"/>
      <c r="K17" s="9"/>
    </row>
    <row r="18" spans="1:11" x14ac:dyDescent="0.2">
      <c r="A18" s="2" t="s">
        <v>72</v>
      </c>
      <c r="B18" s="4">
        <f>B11-SUM(B13:B17)</f>
        <v>80</v>
      </c>
      <c r="C18" s="29">
        <f>B18/$B$3</f>
        <v>6.4000000000000001E-2</v>
      </c>
      <c r="F18" s="9"/>
      <c r="G18" s="9"/>
      <c r="H18" s="9"/>
      <c r="I18" s="9"/>
      <c r="J18" s="9"/>
      <c r="K18" s="9"/>
    </row>
  </sheetData>
  <mergeCells count="12">
    <mergeCell ref="E11:F11"/>
    <mergeCell ref="E5:F5"/>
    <mergeCell ref="E6:F6"/>
    <mergeCell ref="E7:F7"/>
    <mergeCell ref="E8:F8"/>
    <mergeCell ref="E9:F9"/>
    <mergeCell ref="E10:F10"/>
    <mergeCell ref="A2:B2"/>
    <mergeCell ref="E1:F1"/>
    <mergeCell ref="E2:F2"/>
    <mergeCell ref="E3:F3"/>
    <mergeCell ref="E4:F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e5a9bbd63fbf262578ba03fd80405270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4b31c348399089d26e9ea4df2e2362e0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68BA90F9-0727-47D5-A4CC-93317248449D}"/>
</file>

<file path=customXml/itemProps2.xml><?xml version="1.0" encoding="utf-8"?>
<ds:datastoreItem xmlns:ds="http://schemas.openxmlformats.org/officeDocument/2006/customXml" ds:itemID="{BDC46EB6-497C-4940-A11B-AE4F82C2AED1}"/>
</file>

<file path=customXml/itemProps3.xml><?xml version="1.0" encoding="utf-8"?>
<ds:datastoreItem xmlns:ds="http://schemas.openxmlformats.org/officeDocument/2006/customXml" ds:itemID="{4FC4D659-D45E-458D-BA46-5596101A3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Valuation Fluxo de Caixa Livre</vt:lpstr>
      <vt:lpstr>Valuation Startup - BERKUS</vt:lpstr>
      <vt:lpstr>Valuation Startup - Fluxo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Guasti Lima</dc:creator>
  <cp:lastModifiedBy>Fabiano Guasti Lima</cp:lastModifiedBy>
  <dcterms:created xsi:type="dcterms:W3CDTF">2023-05-17T10:09:34Z</dcterms:created>
  <dcterms:modified xsi:type="dcterms:W3CDTF">2024-04-13T17:47:54Z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