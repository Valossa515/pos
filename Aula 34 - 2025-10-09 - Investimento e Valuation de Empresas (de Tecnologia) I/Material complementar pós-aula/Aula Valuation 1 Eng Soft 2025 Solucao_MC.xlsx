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theme/theme1.xml" ContentType="application/vnd.openxmlformats-officedocument.theme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bianolima/Documents/PECEGE/DIGITAL BUSINESS/ENGENHARIA DE SOFTWARE/Aula 2025/"/>
    </mc:Choice>
  </mc:AlternateContent>
  <xr:revisionPtr revIDLastSave="0" documentId="13_ncr:1_{D0236CDE-4B0A-AD46-B0BC-FD1760BA6324}" xr6:coauthVersionLast="47" xr6:coauthVersionMax="47" xr10:uidLastSave="{00000000-0000-0000-0000-000000000000}"/>
  <bookViews>
    <workbookView xWindow="680" yWindow="940" windowWidth="27840" windowHeight="16000" xr2:uid="{0142BF06-A1B5-6047-ACB5-42C09F4A6F96}"/>
  </bookViews>
  <sheets>
    <sheet name="Caso Prático 1" sheetId="2" r:id="rId1"/>
    <sheet name="Caso Prático 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2" l="1"/>
  <c r="B25" i="2"/>
  <c r="B24" i="2"/>
  <c r="B21" i="2"/>
  <c r="B23" i="2"/>
  <c r="E28" i="2"/>
  <c r="E26" i="2"/>
  <c r="E21" i="2"/>
  <c r="E17" i="2"/>
  <c r="E15" i="2"/>
  <c r="E13" i="2"/>
  <c r="E12" i="2"/>
  <c r="B15" i="2"/>
  <c r="B11" i="2"/>
  <c r="E5" i="2"/>
  <c r="C25" i="2"/>
  <c r="C24" i="2"/>
  <c r="C21" i="2"/>
  <c r="C23" i="2"/>
  <c r="F28" i="2"/>
  <c r="F27" i="2"/>
  <c r="F26" i="2"/>
  <c r="F29" i="2"/>
  <c r="F25" i="2"/>
  <c r="F21" i="2"/>
  <c r="F22" i="2"/>
  <c r="F20" i="2"/>
  <c r="F17" i="2"/>
  <c r="F18" i="2"/>
  <c r="F19" i="2"/>
  <c r="F15" i="2"/>
  <c r="F16" i="2"/>
  <c r="F14" i="2"/>
  <c r="F13" i="2"/>
  <c r="F12" i="2"/>
  <c r="C15" i="2"/>
  <c r="C11" i="2"/>
  <c r="F5" i="2"/>
  <c r="E14" i="2" l="1"/>
  <c r="E16" i="2" s="1"/>
  <c r="E18" i="2" s="1"/>
  <c r="E19" i="2" s="1"/>
  <c r="E20" i="2" s="1"/>
  <c r="B10" i="1"/>
  <c r="B5" i="1"/>
  <c r="E25" i="2" l="1"/>
  <c r="E27" i="2" s="1"/>
  <c r="E29" i="2" s="1"/>
  <c r="E22" i="2"/>
</calcChain>
</file>

<file path=xl/sharedStrings.xml><?xml version="1.0" encoding="utf-8"?>
<sst xmlns="http://schemas.openxmlformats.org/spreadsheetml/2006/main" count="56" uniqueCount="54">
  <si>
    <t>ATIVO</t>
  </si>
  <si>
    <t>$MM</t>
  </si>
  <si>
    <t>DECIS OPERAC/INVEST</t>
  </si>
  <si>
    <t>Ativos operacionais médios</t>
  </si>
  <si>
    <t>DECIS DE FINANC</t>
  </si>
  <si>
    <t>Ativos fixos médios</t>
  </si>
  <si>
    <t>TOTAL</t>
  </si>
  <si>
    <t>P+PL</t>
  </si>
  <si>
    <t>Passivos opeacionais médios</t>
  </si>
  <si>
    <t>Passivos onerosos médios</t>
  </si>
  <si>
    <t>PL médio</t>
  </si>
  <si>
    <t>Ke</t>
  </si>
  <si>
    <t>Capital Investido</t>
  </si>
  <si>
    <t>Capital de Terceiros</t>
  </si>
  <si>
    <t>Prestação</t>
  </si>
  <si>
    <t>Capital Próprio</t>
  </si>
  <si>
    <t>Custo de Oportunidade Mensal</t>
  </si>
  <si>
    <t>Esse negócio apresenta Viabilidade Econômica e Financeira ?????</t>
  </si>
  <si>
    <t>Licenças Vendidas Mensalmente</t>
  </si>
  <si>
    <t>Preço de Venda (R$/unid)</t>
  </si>
  <si>
    <t>Preço de Custo Variável (R$/unid)</t>
  </si>
  <si>
    <r>
      <t xml:space="preserve">Margem de Contribuição </t>
    </r>
    <r>
      <rPr>
        <b/>
        <sz val="12"/>
        <color rgb="FF00B0F0"/>
        <rFont val="Calibri (Corpo)"/>
      </rPr>
      <t xml:space="preserve">BRUTA </t>
    </r>
    <r>
      <rPr>
        <b/>
        <sz val="12"/>
        <color theme="1"/>
        <rFont val="Calibri"/>
        <family val="2"/>
        <scheme val="minor"/>
      </rPr>
      <t>(R$/unid)</t>
    </r>
  </si>
  <si>
    <t>Custos/Despesas Fixas (R$/mês)</t>
  </si>
  <si>
    <t>Depreciação (R$/mês)</t>
  </si>
  <si>
    <t>Custos/Despesas Fixas sem Depreciação (R$/mês)</t>
  </si>
  <si>
    <t>RESULTADO (R$/mês)</t>
  </si>
  <si>
    <t>Receita de Vendas (Faturamento)</t>
  </si>
  <si>
    <t>(-) Custos Variáveis</t>
  </si>
  <si>
    <t>Margem Contribuição</t>
  </si>
  <si>
    <t>(-) Custos/Despeas Fixas sem Depreciação</t>
  </si>
  <si>
    <t>LAJIDA = E B I T D A</t>
  </si>
  <si>
    <t>LAJIDA = Lucro Antes dos Juros, Impostos e Depreciação</t>
  </si>
  <si>
    <t>(-) Depreciação</t>
  </si>
  <si>
    <t>Lucro Operacional Bruto - EBIT</t>
  </si>
  <si>
    <t>Imposto de Renda</t>
  </si>
  <si>
    <t xml:space="preserve">(-) Imposto de Renda </t>
  </si>
  <si>
    <t>Lucro Operacional Líquido do IR = NOPAT</t>
  </si>
  <si>
    <t>(-) Custo de Oportunidade</t>
  </si>
  <si>
    <t xml:space="preserve">LUCRO ECONÔMICO </t>
  </si>
  <si>
    <t>ASPECTO ECONÔMICO (DESEMPENHO)</t>
  </si>
  <si>
    <t>FLUXO DE CAIXA (R$/mês)</t>
  </si>
  <si>
    <t>NOPAT - Lucro Operacional Líquido do IR</t>
  </si>
  <si>
    <t>(+) Depreciação</t>
  </si>
  <si>
    <t>Fluxo de Caixa Operacional</t>
  </si>
  <si>
    <t>(-) Prestação</t>
  </si>
  <si>
    <t>Fluxo de Caixa Líquido</t>
  </si>
  <si>
    <t>ASPECTO FINANCEIRO (FÔLEGO)</t>
  </si>
  <si>
    <t>PONTO DE EQUIILÍBRIO CONTÁBIL</t>
  </si>
  <si>
    <t>PONTO DE EQUILÍRIO FINANCEIRO</t>
  </si>
  <si>
    <t>PONTO DE EQUILÍBRIO ECONÔMICO - Viab Econ</t>
  </si>
  <si>
    <r>
      <t xml:space="preserve">Margem de Contribuição </t>
    </r>
    <r>
      <rPr>
        <b/>
        <sz val="12"/>
        <color rgb="FF00B0F0"/>
        <rFont val="Calibri (Corpo)"/>
      </rPr>
      <t xml:space="preserve">LÍQUIDA </t>
    </r>
    <r>
      <rPr>
        <b/>
        <sz val="12"/>
        <color theme="1"/>
        <rFont val="Calibri"/>
        <family val="2"/>
        <scheme val="minor"/>
      </rPr>
      <t>(R$/unid)</t>
    </r>
  </si>
  <si>
    <t>ROI - Retorno do Capital Investido = NOPAT/Capital Investido</t>
  </si>
  <si>
    <t xml:space="preserve">ROI   </t>
  </si>
  <si>
    <t>ROI &gt; WACC = 1,5%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</si>
</sst>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0"/>
    <numFmt numFmtId="165" formatCode="#,##0.0"/>
    <numFmt numFmtId="167" formatCode="_-* #,##0_-;\-* #,##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F0"/>
      <name val="Calibri (Corpo)"/>
    </font>
    <font>
      <b/>
      <u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0" fillId="2" borderId="3" xfId="0" applyNumberFormat="1" applyFill="1" applyBorder="1"/>
    <xf numFmtId="165" fontId="0" fillId="2" borderId="4" xfId="0" applyNumberFormat="1" applyFill="1" applyBorder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2" borderId="5" xfId="0" applyNumberFormat="1" applyFont="1" applyFill="1" applyBorder="1"/>
    <xf numFmtId="165" fontId="3" fillId="2" borderId="6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3" fillId="4" borderId="2" xfId="0" applyNumberFormat="1" applyFont="1" applyFill="1" applyBorder="1" applyAlignment="1">
      <alignment horizontal="center"/>
    </xf>
    <xf numFmtId="164" fontId="0" fillId="3" borderId="3" xfId="0" applyNumberFormat="1" applyFill="1" applyBorder="1"/>
    <xf numFmtId="165" fontId="0" fillId="3" borderId="4" xfId="0" applyNumberFormat="1" applyFill="1" applyBorder="1" applyAlignment="1">
      <alignment horizontal="center"/>
    </xf>
    <xf numFmtId="164" fontId="3" fillId="4" borderId="5" xfId="0" applyNumberFormat="1" applyFont="1" applyFill="1" applyBorder="1"/>
    <xf numFmtId="165" fontId="3" fillId="4" borderId="6" xfId="0" applyNumberFormat="1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0" fontId="0" fillId="0" borderId="0" xfId="0" applyNumberFormat="1"/>
    <xf numFmtId="0" fontId="0" fillId="6" borderId="7" xfId="0" applyFill="1" applyBorder="1"/>
    <xf numFmtId="0" fontId="0" fillId="7" borderId="7" xfId="0" applyFill="1" applyBorder="1"/>
    <xf numFmtId="10" fontId="0" fillId="0" borderId="0" xfId="0" applyNumberFormat="1" applyAlignment="1">
      <alignment horizontal="center"/>
    </xf>
    <xf numFmtId="0" fontId="2" fillId="0" borderId="0" xfId="0" applyFont="1"/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43" fontId="0" fillId="6" borderId="9" xfId="1" applyFont="1" applyFill="1" applyBorder="1"/>
    <xf numFmtId="43" fontId="0" fillId="7" borderId="9" xfId="1" applyFont="1" applyFill="1" applyBorder="1"/>
    <xf numFmtId="43" fontId="0" fillId="0" borderId="0" xfId="1" applyFont="1"/>
    <xf numFmtId="167" fontId="0" fillId="7" borderId="10" xfId="1" applyNumberFormat="1" applyFont="1" applyFill="1" applyBorder="1"/>
    <xf numFmtId="0" fontId="4" fillId="0" borderId="0" xfId="0" applyFont="1"/>
    <xf numFmtId="43" fontId="4" fillId="0" borderId="0" xfId="0" applyNumberFormat="1" applyFont="1"/>
    <xf numFmtId="43" fontId="0" fillId="0" borderId="0" xfId="0" applyNumberFormat="1"/>
    <xf numFmtId="0" fontId="0" fillId="0" borderId="0" xfId="0" applyAlignment="1">
      <alignment horizontal="center"/>
    </xf>
    <xf numFmtId="43" fontId="4" fillId="0" borderId="0" xfId="1" applyFont="1"/>
    <xf numFmtId="0" fontId="6" fillId="6" borderId="1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4" fillId="0" borderId="13" xfId="0" applyFont="1" applyBorder="1"/>
    <xf numFmtId="43" fontId="4" fillId="0" borderId="14" xfId="1" applyFont="1" applyBorder="1"/>
    <xf numFmtId="0" fontId="0" fillId="0" borderId="13" xfId="0" applyBorder="1"/>
    <xf numFmtId="43" fontId="0" fillId="0" borderId="14" xfId="1" applyFont="1" applyBorder="1"/>
    <xf numFmtId="0" fontId="4" fillId="6" borderId="7" xfId="0" applyFont="1" applyFill="1" applyBorder="1" applyAlignment="1">
      <alignment horizontal="center" vertical="center" textRotation="90" wrapText="1"/>
    </xf>
    <xf numFmtId="0" fontId="4" fillId="6" borderId="8" xfId="0" applyFont="1" applyFill="1" applyBorder="1" applyAlignment="1">
      <alignment horizontal="center" vertical="center" textRotation="90" wrapText="1"/>
    </xf>
    <xf numFmtId="0" fontId="4" fillId="6" borderId="9" xfId="0" applyFont="1" applyFill="1" applyBorder="1" applyAlignment="1">
      <alignment horizontal="center" vertical="center" textRotation="90" wrapText="1"/>
    </xf>
    <xf numFmtId="0" fontId="4" fillId="8" borderId="15" xfId="0" applyFont="1" applyFill="1" applyBorder="1"/>
    <xf numFmtId="43" fontId="4" fillId="8" borderId="16" xfId="0" applyNumberFormat="1" applyFont="1" applyFill="1" applyBorder="1"/>
    <xf numFmtId="0" fontId="4" fillId="9" borderId="13" xfId="0" applyFont="1" applyFill="1" applyBorder="1"/>
    <xf numFmtId="43" fontId="4" fillId="9" borderId="14" xfId="1" applyFont="1" applyFill="1" applyBorder="1"/>
    <xf numFmtId="0" fontId="4" fillId="7" borderId="11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43" fontId="4" fillId="9" borderId="14" xfId="0" applyNumberFormat="1" applyFont="1" applyFill="1" applyBorder="1"/>
    <xf numFmtId="43" fontId="0" fillId="0" borderId="14" xfId="0" applyNumberFormat="1" applyBorder="1"/>
    <xf numFmtId="0" fontId="0" fillId="0" borderId="0" xfId="0" applyAlignment="1">
      <alignment wrapText="1"/>
    </xf>
    <xf numFmtId="0" fontId="4" fillId="9" borderId="7" xfId="0" applyFont="1" applyFill="1" applyBorder="1" applyAlignment="1">
      <alignment horizontal="center" vertical="center" textRotation="90" wrapText="1"/>
    </xf>
    <xf numFmtId="0" fontId="4" fillId="9" borderId="8" xfId="0" applyFont="1" applyFill="1" applyBorder="1" applyAlignment="1">
      <alignment horizontal="center" vertical="center" textRotation="90" wrapText="1"/>
    </xf>
    <xf numFmtId="0" fontId="4" fillId="9" borderId="9" xfId="0" applyFont="1" applyFill="1" applyBorder="1" applyAlignment="1">
      <alignment horizontal="center" vertical="center" textRotation="90" wrapText="1"/>
    </xf>
    <xf numFmtId="0" fontId="4" fillId="5" borderId="15" xfId="0" applyFont="1" applyFill="1" applyBorder="1"/>
    <xf numFmtId="43" fontId="4" fillId="5" borderId="16" xfId="0" applyNumberFormat="1" applyFont="1" applyFill="1" applyBorder="1"/>
    <xf numFmtId="0" fontId="4" fillId="10" borderId="13" xfId="0" applyFont="1" applyFill="1" applyBorder="1"/>
    <xf numFmtId="43" fontId="4" fillId="10" borderId="14" xfId="0" applyNumberFormat="1" applyFont="1" applyFill="1" applyBorder="1"/>
    <xf numFmtId="43" fontId="4" fillId="10" borderId="14" xfId="1" applyFont="1" applyFill="1" applyBorder="1"/>
    <xf numFmtId="1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26212</xdr:colOff>
      <xdr:row>6</xdr:row>
      <xdr:rowOff>53017</xdr:rowOff>
    </xdr:from>
    <xdr:to>
      <xdr:col>14</xdr:col>
      <xdr:colOff>246092</xdr:colOff>
      <xdr:row>11</xdr:row>
      <xdr:rowOff>145964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1" name="Tinta 20">
              <a:extLst>
                <a:ext uri="{FF2B5EF4-FFF2-40B4-BE49-F238E27FC236}">
                  <a16:creationId xmlns:a16="http://schemas.microsoft.com/office/drawing/2014/main" id="{39A36EAF-3CA4-7E79-4559-F7667E60A7DB}"/>
                </a:ext>
              </a:extLst>
            </xdr14:cNvPr>
            <xdr14:cNvContentPartPr/>
          </xdr14:nvContentPartPr>
          <xdr14:nvPr macro=""/>
          <xdr14:xfrm>
            <a:off x="12956400" y="1315080"/>
            <a:ext cx="3521880" cy="1158840"/>
          </xdr14:xfrm>
        </xdr:contentPart>
      </mc:Choice>
      <mc:Fallback>
        <xdr:pic>
          <xdr:nvPicPr>
            <xdr:cNvPr id="21" name="Tinta 20">
              <a:extLst>
                <a:ext uri="{FF2B5EF4-FFF2-40B4-BE49-F238E27FC236}">
                  <a16:creationId xmlns:a16="http://schemas.microsoft.com/office/drawing/2014/main" id="{39A36EAF-3CA4-7E79-4559-F7667E60A7D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950314" y="1308902"/>
              <a:ext cx="3534052" cy="11711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591432</xdr:colOff>
      <xdr:row>0</xdr:row>
      <xdr:rowOff>-6318</xdr:rowOff>
    </xdr:from>
    <xdr:to>
      <xdr:col>11</xdr:col>
      <xdr:colOff>395912</xdr:colOff>
      <xdr:row>4</xdr:row>
      <xdr:rowOff>213425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28" name="Tinta 27">
              <a:extLst>
                <a:ext uri="{FF2B5EF4-FFF2-40B4-BE49-F238E27FC236}">
                  <a16:creationId xmlns:a16="http://schemas.microsoft.com/office/drawing/2014/main" id="{EEFF6D6A-2BED-944B-16CE-A1F7515DABB6}"/>
                </a:ext>
              </a:extLst>
            </xdr14:cNvPr>
            <xdr14:cNvContentPartPr/>
          </xdr14:nvContentPartPr>
          <xdr14:nvPr macro=""/>
          <xdr14:xfrm>
            <a:off x="12696120" y="-6318"/>
            <a:ext cx="1455480" cy="1061118"/>
          </xdr14:xfrm>
        </xdr:contentPart>
      </mc:Choice>
      <mc:Fallback>
        <xdr:pic>
          <xdr:nvPicPr>
            <xdr:cNvPr id="28" name="Tinta 27">
              <a:extLst>
                <a:ext uri="{FF2B5EF4-FFF2-40B4-BE49-F238E27FC236}">
                  <a16:creationId xmlns:a16="http://schemas.microsoft.com/office/drawing/2014/main" id="{EEFF6D6A-2BED-944B-16CE-A1F7515DABB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690000" y="-12439"/>
              <a:ext cx="1467720" cy="107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520872</xdr:colOff>
      <xdr:row>0</xdr:row>
      <xdr:rowOff>208440</xdr:rowOff>
    </xdr:from>
    <xdr:to>
      <xdr:col>10</xdr:col>
      <xdr:colOff>476572</xdr:colOff>
      <xdr:row>1</xdr:row>
      <xdr:rowOff>177367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36" name="Tinta 35">
              <a:extLst>
                <a:ext uri="{FF2B5EF4-FFF2-40B4-BE49-F238E27FC236}">
                  <a16:creationId xmlns:a16="http://schemas.microsoft.com/office/drawing/2014/main" id="{75E70C48-8C50-5858-0517-5368A6A44599}"/>
                </a:ext>
              </a:extLst>
            </xdr14:cNvPr>
            <xdr14:cNvContentPartPr/>
          </xdr14:nvContentPartPr>
          <xdr14:nvPr macro=""/>
          <xdr14:xfrm>
            <a:off x="12625560" y="208440"/>
            <a:ext cx="781200" cy="183240"/>
          </xdr14:xfrm>
        </xdr:contentPart>
      </mc:Choice>
      <mc:Fallback>
        <xdr:pic>
          <xdr:nvPicPr>
            <xdr:cNvPr id="36" name="Tinta 35">
              <a:extLst>
                <a:ext uri="{FF2B5EF4-FFF2-40B4-BE49-F238E27FC236}">
                  <a16:creationId xmlns:a16="http://schemas.microsoft.com/office/drawing/2014/main" id="{75E70C48-8C50-5858-0517-5368A6A4459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616920" y="199440"/>
              <a:ext cx="79884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91352</xdr:colOff>
      <xdr:row>4</xdr:row>
      <xdr:rowOff>124505</xdr:rowOff>
    </xdr:from>
    <xdr:to>
      <xdr:col>11</xdr:col>
      <xdr:colOff>377192</xdr:colOff>
      <xdr:row>5</xdr:row>
      <xdr:rowOff>8112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37" name="Tinta 36">
              <a:extLst>
                <a:ext uri="{FF2B5EF4-FFF2-40B4-BE49-F238E27FC236}">
                  <a16:creationId xmlns:a16="http://schemas.microsoft.com/office/drawing/2014/main" id="{E5BC76A6-24D0-1BC6-2805-7E49921CD14C}"/>
                </a:ext>
              </a:extLst>
            </xdr14:cNvPr>
            <xdr14:cNvContentPartPr/>
          </xdr14:nvContentPartPr>
          <xdr14:nvPr macro=""/>
          <xdr14:xfrm>
            <a:off x="13847040" y="965880"/>
            <a:ext cx="285840" cy="97920"/>
          </xdr14:xfrm>
        </xdr:contentPart>
      </mc:Choice>
      <mc:Fallback>
        <xdr:pic>
          <xdr:nvPicPr>
            <xdr:cNvPr id="37" name="Tinta 36">
              <a:extLst>
                <a:ext uri="{FF2B5EF4-FFF2-40B4-BE49-F238E27FC236}">
                  <a16:creationId xmlns:a16="http://schemas.microsoft.com/office/drawing/2014/main" id="{E5BC76A6-24D0-1BC6-2805-7E49921CD14C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3840920" y="959760"/>
              <a:ext cx="298080" cy="11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54272</xdr:colOff>
      <xdr:row>1</xdr:row>
      <xdr:rowOff>178087</xdr:rowOff>
    </xdr:from>
    <xdr:to>
      <xdr:col>11</xdr:col>
      <xdr:colOff>519392</xdr:colOff>
      <xdr:row>4</xdr:row>
      <xdr:rowOff>40985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47" name="Tinta 46">
              <a:extLst>
                <a:ext uri="{FF2B5EF4-FFF2-40B4-BE49-F238E27FC236}">
                  <a16:creationId xmlns:a16="http://schemas.microsoft.com/office/drawing/2014/main" id="{45BD4ADF-DA10-30F4-8ED0-D6F5806C44F6}"/>
                </a:ext>
              </a:extLst>
            </xdr14:cNvPr>
            <xdr14:cNvContentPartPr/>
          </xdr14:nvContentPartPr>
          <xdr14:nvPr macro=""/>
          <xdr14:xfrm>
            <a:off x="13809960" y="392400"/>
            <a:ext cx="465120" cy="489960"/>
          </xdr14:xfrm>
        </xdr:contentPart>
      </mc:Choice>
      <mc:Fallback>
        <xdr:pic>
          <xdr:nvPicPr>
            <xdr:cNvPr id="47" name="Tinta 46">
              <a:extLst>
                <a:ext uri="{FF2B5EF4-FFF2-40B4-BE49-F238E27FC236}">
                  <a16:creationId xmlns:a16="http://schemas.microsoft.com/office/drawing/2014/main" id="{45BD4ADF-DA10-30F4-8ED0-D6F5806C44F6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3801320" y="383754"/>
              <a:ext cx="482760" cy="5076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30152</xdr:colOff>
      <xdr:row>4</xdr:row>
      <xdr:rowOff>150785</xdr:rowOff>
    </xdr:from>
    <xdr:to>
      <xdr:col>11</xdr:col>
      <xdr:colOff>475112</xdr:colOff>
      <xdr:row>7</xdr:row>
      <xdr:rowOff>105482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53" name="Tinta 52">
              <a:extLst>
                <a:ext uri="{FF2B5EF4-FFF2-40B4-BE49-F238E27FC236}">
                  <a16:creationId xmlns:a16="http://schemas.microsoft.com/office/drawing/2014/main" id="{6829C882-4E44-437A-647D-7F79168AFAD3}"/>
                </a:ext>
              </a:extLst>
            </xdr14:cNvPr>
            <xdr14:cNvContentPartPr/>
          </xdr14:nvContentPartPr>
          <xdr14:nvPr macro=""/>
          <xdr14:xfrm>
            <a:off x="13785840" y="992160"/>
            <a:ext cx="444960" cy="581760"/>
          </xdr14:xfrm>
        </xdr:contentPart>
      </mc:Choice>
      <mc:Fallback>
        <xdr:pic>
          <xdr:nvPicPr>
            <xdr:cNvPr id="53" name="Tinta 52">
              <a:extLst>
                <a:ext uri="{FF2B5EF4-FFF2-40B4-BE49-F238E27FC236}">
                  <a16:creationId xmlns:a16="http://schemas.microsoft.com/office/drawing/2014/main" id="{6829C882-4E44-437A-647D-7F79168AFAD3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3776840" y="983520"/>
              <a:ext cx="462600" cy="59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392618</xdr:colOff>
      <xdr:row>11</xdr:row>
      <xdr:rowOff>159332</xdr:rowOff>
    </xdr:from>
    <xdr:to>
      <xdr:col>13</xdr:col>
      <xdr:colOff>30729</xdr:colOff>
      <xdr:row>14</xdr:row>
      <xdr:rowOff>182151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56" name="Tinta 55">
              <a:extLst>
                <a:ext uri="{FF2B5EF4-FFF2-40B4-BE49-F238E27FC236}">
                  <a16:creationId xmlns:a16="http://schemas.microsoft.com/office/drawing/2014/main" id="{36BF1512-ACD2-753B-38AB-B9367BF4159D}"/>
                </a:ext>
              </a:extLst>
            </xdr14:cNvPr>
            <xdr14:cNvContentPartPr/>
          </xdr14:nvContentPartPr>
          <xdr14:nvPr macro=""/>
          <xdr14:xfrm>
            <a:off x="15994080" y="2474640"/>
            <a:ext cx="1298880" cy="638280"/>
          </xdr14:xfrm>
        </xdr:contentPart>
      </mc:Choice>
      <mc:Fallback>
        <xdr:pic>
          <xdr:nvPicPr>
            <xdr:cNvPr id="56" name="Tinta 55">
              <a:extLst>
                <a:ext uri="{FF2B5EF4-FFF2-40B4-BE49-F238E27FC236}">
                  <a16:creationId xmlns:a16="http://schemas.microsoft.com/office/drawing/2014/main" id="{36BF1512-ACD2-753B-38AB-B9367BF4159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5985080" y="2466000"/>
              <a:ext cx="1316520" cy="65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430825</xdr:colOff>
      <xdr:row>10</xdr:row>
      <xdr:rowOff>65326</xdr:rowOff>
    </xdr:from>
    <xdr:to>
      <xdr:col>14</xdr:col>
      <xdr:colOff>509665</xdr:colOff>
      <xdr:row>10</xdr:row>
      <xdr:rowOff>189166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63" name="Tinta 62">
              <a:extLst>
                <a:ext uri="{FF2B5EF4-FFF2-40B4-BE49-F238E27FC236}">
                  <a16:creationId xmlns:a16="http://schemas.microsoft.com/office/drawing/2014/main" id="{8CF4CFB2-9A41-355D-6D97-539DDEE1C0D6}"/>
                </a:ext>
              </a:extLst>
            </xdr14:cNvPr>
            <xdr14:cNvContentPartPr/>
          </xdr14:nvContentPartPr>
          <xdr14:nvPr macro=""/>
          <xdr14:xfrm>
            <a:off x="18523440" y="2175480"/>
            <a:ext cx="78840" cy="123840"/>
          </xdr14:xfrm>
        </xdr:contentPart>
      </mc:Choice>
      <mc:Fallback>
        <xdr:pic>
          <xdr:nvPicPr>
            <xdr:cNvPr id="63" name="Tinta 62">
              <a:extLst>
                <a:ext uri="{FF2B5EF4-FFF2-40B4-BE49-F238E27FC236}">
                  <a16:creationId xmlns:a16="http://schemas.microsoft.com/office/drawing/2014/main" id="{8CF4CFB2-9A41-355D-6D97-539DDEE1C0D6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8514440" y="2166480"/>
              <a:ext cx="9648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822729</xdr:colOff>
      <xdr:row>6</xdr:row>
      <xdr:rowOff>73929</xdr:rowOff>
    </xdr:from>
    <xdr:to>
      <xdr:col>14</xdr:col>
      <xdr:colOff>488785</xdr:colOff>
      <xdr:row>9</xdr:row>
      <xdr:rowOff>158929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64" name="Tinta 63">
              <a:extLst>
                <a:ext uri="{FF2B5EF4-FFF2-40B4-BE49-F238E27FC236}">
                  <a16:creationId xmlns:a16="http://schemas.microsoft.com/office/drawing/2014/main" id="{0C61877C-5827-0EE5-F081-56F90CBFC08B}"/>
                </a:ext>
              </a:extLst>
            </xdr14:cNvPr>
            <xdr14:cNvContentPartPr/>
          </xdr14:nvContentPartPr>
          <xdr14:nvPr macro=""/>
          <xdr14:xfrm>
            <a:off x="18084960" y="1334160"/>
            <a:ext cx="496440" cy="720000"/>
          </xdr14:xfrm>
        </xdr:contentPart>
      </mc:Choice>
      <mc:Fallback>
        <xdr:pic>
          <xdr:nvPicPr>
            <xdr:cNvPr id="64" name="Tinta 63">
              <a:extLst>
                <a:ext uri="{FF2B5EF4-FFF2-40B4-BE49-F238E27FC236}">
                  <a16:creationId xmlns:a16="http://schemas.microsoft.com/office/drawing/2014/main" id="{0C61877C-5827-0EE5-F081-56F90CBFC08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8076320" y="1325516"/>
              <a:ext cx="514080" cy="7376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589585</xdr:colOff>
      <xdr:row>10</xdr:row>
      <xdr:rowOff>67846</xdr:rowOff>
    </xdr:from>
    <xdr:to>
      <xdr:col>15</xdr:col>
      <xdr:colOff>236920</xdr:colOff>
      <xdr:row>13</xdr:row>
      <xdr:rowOff>110465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68" name="Tinta 67">
              <a:extLst>
                <a:ext uri="{FF2B5EF4-FFF2-40B4-BE49-F238E27FC236}">
                  <a16:creationId xmlns:a16="http://schemas.microsoft.com/office/drawing/2014/main" id="{5ECD3051-A390-A7AA-CE4F-0C39149C97FC}"/>
                </a:ext>
              </a:extLst>
            </xdr14:cNvPr>
            <xdr14:cNvContentPartPr/>
          </xdr14:nvContentPartPr>
          <xdr14:nvPr macro=""/>
          <xdr14:xfrm>
            <a:off x="18682200" y="2178000"/>
            <a:ext cx="477720" cy="658080"/>
          </xdr14:xfrm>
        </xdr:contentPart>
      </mc:Choice>
      <mc:Fallback>
        <xdr:pic>
          <xdr:nvPicPr>
            <xdr:cNvPr id="68" name="Tinta 67">
              <a:extLst>
                <a:ext uri="{FF2B5EF4-FFF2-40B4-BE49-F238E27FC236}">
                  <a16:creationId xmlns:a16="http://schemas.microsoft.com/office/drawing/2014/main" id="{5ECD3051-A390-A7AA-CE4F-0C39149C97F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8673560" y="2169360"/>
              <a:ext cx="495360" cy="67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710185</xdr:colOff>
      <xdr:row>12</xdr:row>
      <xdr:rowOff>78018</xdr:rowOff>
    </xdr:from>
    <xdr:to>
      <xdr:col>15</xdr:col>
      <xdr:colOff>132880</xdr:colOff>
      <xdr:row>13</xdr:row>
      <xdr:rowOff>34145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71" name="Tinta 70">
              <a:extLst>
                <a:ext uri="{FF2B5EF4-FFF2-40B4-BE49-F238E27FC236}">
                  <a16:creationId xmlns:a16="http://schemas.microsoft.com/office/drawing/2014/main" id="{AA27CF13-4FE0-3708-EB8D-F83E3600AFD2}"/>
                </a:ext>
              </a:extLst>
            </xdr14:cNvPr>
            <xdr14:cNvContentPartPr/>
          </xdr14:nvContentPartPr>
          <xdr14:nvPr macro=""/>
          <xdr14:xfrm>
            <a:off x="18802800" y="2598480"/>
            <a:ext cx="253080" cy="161280"/>
          </xdr14:xfrm>
        </xdr:contentPart>
      </mc:Choice>
      <mc:Fallback>
        <xdr:pic>
          <xdr:nvPicPr>
            <xdr:cNvPr id="71" name="Tinta 70">
              <a:extLst>
                <a:ext uri="{FF2B5EF4-FFF2-40B4-BE49-F238E27FC236}">
                  <a16:creationId xmlns:a16="http://schemas.microsoft.com/office/drawing/2014/main" id="{AA27CF13-4FE0-3708-EB8D-F83E3600AFD2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8794148" y="2589840"/>
              <a:ext cx="270745" cy="178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0:18:30.125"/>
    </inkml:context>
    <inkml:brush xml:id="br0">
      <inkml:brushProperty name="width" value="0.035" units="cm"/>
      <inkml:brushProperty name="height" value="0.035" units="cm"/>
      <inkml:brushProperty name="color" value="#281DFF"/>
    </inkml:brush>
  </inkml:definitions>
  <inkml:trace contextRef="#ctx0" brushRef="#br0">7 949 24575,'-3'14'0,"1"15"0,2 24 0,0 27 0,-1-29 0,1 4 0,0 4 0,3 1 0,6 6 0,4 1 0,6 5 0,6 1 0,7 3 0,5-1 0,1 1 0,2-1 0,1-4 0,0 0 0,1-3 0,2-1 0,-1-5 0,2-2 0,-2-5 0,2-3 0,-1-5 0,0-3 0,-3-8 0,0-1 0,3-1 0,-1-1 0,1 0 0,0-2 0,0-1 0,0-1 0,5 1 0,1-1 0,1-1 0,1 0 0,5 0 0,2-1 0,4-1 0,0-3 0,1-2 0,1-2 0,-1-2 0,0-2 0,-1-2 0,0-1 0,0-1 0,0 0 0,1-2 0,2-1 0,3-1 0,2-2 0,3-1 0,2-1 0,1-1 0,1-2 0,0 0 0,1 0 0,1 0 0,1 0 0,-1 0 0,-1 0 0,-2 0 0,-2 0 0,0 0 0,-2 0 0,-4 0 0,-1 0 0,-3 0 0,0 0 0,-1 0 0,-1 0 0,-1 0 0,0 0 0,1 0 0,1 0 0,1 0 0,1 0 0,2 0 0,1 0 0,0 1 0,-1 0 0,1 0 0,-1 0 0,-4 0 0,-2 0 0,-6 0 0,-3 0 0,33-1 0,-29 2 0,-26 2 0,-16 1 0,-2-1 0,0-3 0,14-4 0,21-3 0,16-2 0,24 0 0,11 4 0,-47 3 0,-1 1 0,3 0 0,0 0 0,0 0 0,-2 0 0,49 0 0,-8 0 0,-9 0 0,1 0 0,5 0 0,9 0 0,-46 0 0,1 0 0,-1 0 0,0 0 0,0 0 0,0 0 0,-2 0 0,0 0 0,43 0 0,-7 0 0,-7 0 0,-8 0 0,-3 0 0,-1 0 0,0-1 0,4-1 0,3 0 0,-2 0 0,-6 2 0,-7 0 0,-7 0 0,-5 0 0,-1 0 0,0 0 0,3 0 0,4 0 0,5 0 0,7 0 0,2 0 0,4-2 0,-4-3 0,-6-3 0,-6-6 0,-6-1 0,-3-3 0,0-2 0,2-2 0,5-5 0,6-3 0,2-3 0,3-3 0,1 0 0,-3-1 0,-2 2 0,-2 1 0,1 1 0,4 1 0,6-3 0,4-2 0,-3 0 0,-11 5 0,-17 9 0,-18 9 0,-14-4 0,-2-11 0,2-8 0,13-18 0,14-11 0,6-7 0,3-8 0,-7 6 0,-6 6 0,-5 2 0,-2-1 0,-1 1 0,-2 1 0,-1-1 0,-2 3 0,-1 0 0,-4 2 0,-2 1 0,-5-4 0,-5-1 0,-1 0 0,-3 7 0,0 10 0,0 8 0,0 9 0,0 2 0,0 3 0,0 1 0,0-1 0,0-1 0,0-1 0,0-1 0,0-1 0,0 4 0,0-1 0,0 1 0,0 0 0,0 2 0,0 1 0,0 2 0,0-1 0,0 0 0,0 1 0,0 4 0,-1 5 0,0 6 0,0 4 0</inkml:trace>
  <inkml:trace contextRef="#ctx0" brushRef="#br0" timeOffset="2700">70 589 24575,'0'17'0,"0"12"0,0 19 0,0 10 0,0 5 0,0-1 0,0-10 0,0-8 0,0-13 0,0-9 0,0-7 0,0-8 0,0-2 0</inkml:trace>
  <inkml:trace contextRef="#ctx0" brushRef="#br0" timeOffset="9298">109 563 24575,'41'19'0,"18"11"0,-14-6 0,3 3 0,10 5 0,4 0 0,6 5 0,3-1 0,4-2 0,2-1 0,2-3 0,1-2 0,1-3 0,1-3 0,1-3 0,0-3 0,0-1 0,-1-1 0,-1-2 0,0-1 0,0-2 0,1 0 0,2 0 0,1 0 0,3 0 0,2-2 0,6 0 0,3 0-192,-30-3 1,1-1 0,1 0 191,2 0 0,1-2 0,0 1 0,2-1 0,-1 0 0,1-1 0,-1 0 0,-1 0 0,-1 0 0,-1 0 0,0 0 0,-2 0 0,25 0 0,-2 0 0,-10 0 0,-2 0 0,-8 0 0,-3 0 0,-7 0 0,-3 0 0,-5 0 0,-2 0 0,28 0 0,-23 0 574,-13-2-574,15-4 0,8-1 0,30-4 0,-29 3 0,6-1 0,14-1 0,6-1-384,-15 2 1,5-2 0,1 1 383,6-1 0,2-1 0,-1 1 0,-4 1 0,-1 0 0,-2-1-33,-7 1 1,-2 1 0,-3-1 32,13 0 0,-8 0 0,-19 3 0,-3 1 0,8 1 0,0 2 0,-12 1 0,1 0 0,17 0 0,5-2 0,9 0 0,0-1 572,-9-1 1,2-1-573,15 0 0,0 1 51,-16 0 0,-5 1-51,-13 2 0,-4 0 0,28 1 0,-35 2 0,12 0 0,32 0 0,-32 2 0,3 1 0,10 2 0,0 1 0,0 2 0,-1 2 0,-10-1 0,-4 1 0,25 3 0,-12-6 0,-2-6 0,17-2 0,-32 0 0,1 0 0,-4 0 0,-1 0 0,37-3 0,-25 2 0,-14 0 0,0 1 0,13-1 0,20-2 0,2-3 0,-14-1 0,-16 2 0,-19 2 0,-3 0 0,15-4 0,14-4 0,10-2 0,-4-1 0,-10 3 0,-6-1 0,-6 0 0,-7 1 0,-6-2 0,-9 2 0,-7 2 0,-5 1 0,-3 0 0,0-1 0,1-1 0,1-1 0,1 0 0,0-1 0,-1-1 0,-2-1 0,-1-2 0,-2-1 0,-1-3 0,-1 0 0,-1 1 0,-2-1 0,-5-1 0,-5 0 0,-2 0 0,-3-2 0,-3 0 0,-4-2 0,-6-3 0,-6 1 0,-6 1 0,-1 2 0,-5 4 0,-12 0 0,-19 0 0,28 10 0,-3 2 0,-9 0 0,-4 1 0,-8 1 0,-4 0 0,-6 1 0,-2 1 0,-3 0 0,-1 0 0,1 0 0,1 1 0,4 0 0,1 0 0,5-1 0,1 1 0,4 0 0,0-1 0,4 1 0,0-1 0,2 2 0,2 1 0,2 0 0,2 1 0,4 0 0,0 1 0,4 0 0,2 0 0,-42-2 0,9 0 0,5-2 0,2 1 0,-1 0 0,-2 0 0,-1 0 0,-9-1 0,-10 0 0,43 1 0,-1-1 0,-5-1 0,-1 0 0,-1 0 0,-1 0 0,-5-1 0,1 1 0,2 1 0,0 1 0,2 0 0,0 2 0,2-1 0,1 1 0,6 1 0,2 0 0,2 0 0,2 0 0,-32 2 0,20 0 0,-17 0 0,23-1 0,-5-1 0,-16 0 0,-5 0 0,-12 0 0,-4 0-354,24 0 0,-2 0 0,-2 0 354,-8 0 0,-1 0 0,-1 0 0,-7 0 0,-1 0 0,1 0 0,3 0 0,1 0 0,3 0 0,14 0 0,2 0 0,5 0 0,-13 0 0,7 0 0,-26 0 0,35 0 0,25 0 0,-10 0 1062,-34 2-1062,21 1 0,-6 2 0,-12 1 0,-5 2 0,21 0 0,-2 0 0,-1 0 0,-3 2 0,-2 0 0,1 0 0,3 1 0,0-1 0,1 0 0,-31 5 0,5 0 0,16-4 0,6 0 0,14-4 0,4 0 0,-29 0 0,28-5 0,19-2 0,12 0 0,5 0 0,3 0 0,-6 0 0,-7 0 0,-10 0 0,-11 0 0,-5-2 0,-4 0 0,0 0 0,2 1 0,2 1 0,5 0 0,2 0 0,4 3 0,1 1 0,2 1 0,1 0 0,1-3 0,-1-1 0,1-1 0,1 0 0,4 2 0,6-1 0,5 1 0,5 1 0,1-1 0,0 1 0,-1 1 0,-1 0 0,2 1 0,0 0 0,1 2 0,1 3 0,-1 1 0,0 1 0,0 0 0,0 0 0,2 0 0,1 0 0,1-1 0,1-2 0,-2 0 0,-1-1 0,0 2 0,1-1 0,1-1 0,1 0 0,1-1 0,4-2 0,1 1 0,2 0 0,-2 1 0,-1 2 0,1 0 0,-1 1 0,2-1 0,0-2 0,1 0 0,1-2 0,1 0 0,1 3 0,1 0 0,2 2 0,1 1 0,2-3 0,0-2 0,1-3 0,1-1 0,1 0 0,1 0 0,1 1 0,0-1 0,-2 2 0,-2 0 0,-2 0 0,-2-3 0,-2 0 0</inkml:trace>
  <inkml:trace contextRef="#ctx0" brushRef="#br0" timeOffset="10598">3141 1825 24575,'3'4'0,"-2"-1"0,-9 0 0,-18-2 0,-20-1 0,-18 0 0,-2 0 0,10 0 0,17 3 0,19 3 0,16 4 0,15 3 0,12 2 0,11-2 0,8 2 0,1-3 0,-3-1 0,-7-2 0,-7 0 0,-10 0 0,-7 1 0,-12 0 0,-14 1 0,-15-1 0,-15-1 0,-4-4 0,3-3 0,9-2 0,13 0 0,11-1 0,8-2 0,5 2 0,2-1 0</inkml:trace>
  <inkml:trace contextRef="#ctx0" brushRef="#br0" timeOffset="11123">2848 1636 24575,'0'20'0,"0"18"0,0 18 0,0 22 0,0 4 0,0-8 0,0-14 0,0-23 0,0-19 0,0-9 0</inkml:trace>
  <inkml:trace contextRef="#ctx0" brushRef="#br0" timeOffset="12085">3490 1748 24575,'0'15'0,"0"6"0,0 5 0,0 1 0,1-10 0,3-8 0,6-8 0,8-2 0,10 0 0,8 1 0,1 5 0,-5 11 0,-12 9 0,-10 10 0,-11 0 0,-18-5 0,-12-7 0,-11-9 0,-1-7 0,9-7 0,10-6 0,9-4 0,8 3 0,4 0 0</inkml:trace>
  <inkml:trace contextRef="#ctx0" brushRef="#br0" timeOffset="12519">3467 1833 24575,'0'-8'0,"0"2"0,2-3 0,11 1 0,15 0 0,18 1 0,12 2 0,1 3 0,-10 1 0,-15 1 0,-19 0 0,-8 0 0</inkml:trace>
  <inkml:trace contextRef="#ctx0" brushRef="#br0" timeOffset="13177">3921 1779 24575,'0'11'0,"0"2"0,0 12 0,0 5 0,0 1 0,0 0 0,2-10 0,6-10 0,5-5 0,8-5 0,6-1 0,4 0 0,2-5 0,-5-8 0,-7-12 0,-10-13 0,-13-8 0,-19 1 0,-18 7 0,-11 11 0,2 13 0,9 7 0,16 8 0,11 0 0,8 1 0</inkml:trace>
  <inkml:trace contextRef="#ctx0" brushRef="#br0" timeOffset="13771">4240 1989 24575,'0'0'0</inkml:trace>
  <inkml:trace contextRef="#ctx0" brushRef="#br0" timeOffset="14447">4410 1771 24575,'0'18'0,"0"14"0,2 14 0,7 5 0,9-12 0,8-17 0,1-11 0,-2-9 0,-2-2 0,-3-3 0,0-7 0,-3-10 0,-6-12 0,-5-11 0,-16-2 0,-18 2 0,-21 7 0,-12 10 0,4 10 0,12 9 0,23 6 0,11 1 0</inkml:trace>
  <inkml:trace contextRef="#ctx0" brushRef="#br0" timeOffset="15119">4583 1710 24575,'0'6'0,"0"8"0,0 10 0,0 8 0,2 6 0,6-4 0,7-3 0,10-8 0,7-5 0,5-8 0,3-6 0,-5-8 0,-8-11 0,-11-17 0,-8-17 0,-9-5 0,-10 1 0,-12 11 0,-8 12 0,-6 10 0,0 10 0,2 5 0,7 4 0,8 1 0,10 0 0,6 1 0</inkml:trace>
  <inkml:trace contextRef="#ctx0" brushRef="#br0" timeOffset="16017">4886 1740 24575,'3'41'0,"0"0"0,-3-4 0,3 0 0,6-4 0,4-6 0,7-12 0,2-7 0,3-6 0,-1-10 0,-3-14 0,-6-12 0,-5-10 0,-5 1 0,-4 5 0,-11 3 0,-11 6 0,-7 7 0,-5 7 0,7 8 0,5 6 0,11 1 0,5 0 0</inkml:trace>
  <inkml:trace contextRef="#ctx0" brushRef="#br0" timeOffset="16964">5584 1262 24575,'7'-10'0,"-7"10"0,-28 45 0,-5 8 0,-6 12 0,0 1 0,-4 7 0,-3 4-648,4-6 1,-2 4 0,-1 2 0,0-1 647,0 2 0,-1 1 0,1-1 0,0 0 0,2-4 0,1 1 0,0-2 0,2-3 148,-5 9 0,2-4 1,4-4-149,-4 7 0,5-9 0,-8 18 0,33-79 0,12-8 0,6-26 0</inkml:trace>
  <inkml:trace contextRef="#ctx0" brushRef="#br0" timeOffset="18396">5225 2296 24575,'7'0'0,"-3"1"0,0 7 0,-2 11 0,-2 12 0,0 5 0,0-5 0,0-14 0,0-25 0,0-24 0,0-17 0,0-7 0,3 10 0,4 16 0,8 15 0,9 15 0,2 21 0,0 20 0,-6 15 0,-7 1 0,-5-11 0,-6-22 0,-2-22 0,0-23 0,2-22 0,6-7 0,7 5 0,7 16 0,4 18 0,-1 20 0,-4 21 0,-2 15 0,-4 4 0,0-11 0,0-16 0,4-19 0,8-31 0,4-29 0,0-24 0,-6-9 0,-11 20 0,-8 24 0,-8 22 0,-9 17 0,-6 13 0,-3 14 0,4 17 0,6 13 0,6 1 0,4-9 0,10-14 0,13-15 0,18-16 0,14-10 0,6-3 0,-4 2 0,-11 12 0,-13 17 0,-16 16 0,-11 11 0,-13 4 0,-5-8 0,-4-10 0,6-13 0,4-8 0</inkml:trace>
  <inkml:trace contextRef="#ctx0" brushRef="#br0" timeOffset="19466">5680 1911 24575,'1'-34'0,"4"0"0,3 12 0,5 3 0,2 5 0,-3 7 0,-2 5 0,-1 17 0,3 17 0,6 16 0,5 8 0,0-9 0,-4-10 0,-9-21 0,-5-7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0:19:16.215"/>
    </inkml:context>
    <inkml:brush xml:id="br0">
      <inkml:brushProperty name="width" value="0.035" units="cm"/>
      <inkml:brushProperty name="height" value="0.035" units="cm"/>
      <inkml:brushProperty name="color" value="#281DFF"/>
    </inkml:brush>
  </inkml:definitions>
  <inkml:trace contextRef="#ctx0" brushRef="#br0">1 1296 24575,'59'0'0,"1"0"0,-1 0 0,5 0 0,7 0 0,9 0 0,0 0-479,-5 0 1,0 0 0,0 0 478,6 0 0,1 0 0,-1 0 0,-1 0 0,0 0 0,0 0 0,-4 0 0,-1 0 0,0 0 0,-6 0 0,-1 0 0,-1 0 220,27 0 1,-2 0-221,-4 0 0,-2 1 122,-7 0 0,-1 3-122,-4 1 0,-1 3 0,-4 3 0,-1 3 0,-1 4 0,-1 3 364,2 2 1,-2 3-365,-4 1 0,0 2 10,-5 0 1,-2 1-11,-6-1 0,-3 1 0,29 29 0,-20 3 0,-18 11 0,-17 18 0,-14-34 0,-3 4 0,-3 12 0,-2 3 0,-1 3 0,-2 1 0,0 1 0,-1-2 0,1-5 0,0-4 0,2-13 0,1-3 0,-1 29 0,3-34 0,0-23 0,0-16 0,0-5 0</inkml:trace>
  <inkml:trace contextRef="#ctx0" brushRef="#br0" timeOffset="1838">426 536 24575,'54'0'0,"4"0"0,-10 0 0,5 0 0,16 0 0,5 0 0,9 0 0,4 0 0,-20 0 0,3 0 0,0 0-256,2 0 0,0 0 1,2 0 255,0 0 0,2 0 0,-1 0 0,2 0 0,0 0 0,1 0 0,1 0 0,1 0 0,-1 0 0,-1 0 0,-1 0 0,-1 0 0,-3 0 0,-1 0 0,0 0 0,29 0 0,-4 0 94,-10 0 1,-4 0-95,-8 0 0,-3 0 0,-9 0 0,-2 0 0,-6 0 0,-2 0 0,43 0 0,-10 0 578,-3 5-578,-6 8 0,-3 7 0,-5 9 0,-4 4 0,-6 1 0,-11 0 0,-11 2 0,-10 9 0,-9 12 0,-8 18 0,-4 14 0,-5-37 0,-1 3 0,-1 6 0,0 3 0,-1 9 0,-1 1 0,-1 9 0,-1 0 0,1 2 0,0 0 0,1-1 0,0 0 0,1-5 0,1-1 0,2-2 0,0 0 0,1-2 0,1-1 0,0-3 0,1 0 0,1-4 0,1-2 0,-1-8 0,0-2 0,3 33 0,-2-28 0,-4-22 0,-1-17 0,-1-9 0,0-6 0,0-2 0</inkml:trace>
  <inkml:trace contextRef="#ctx0" brushRef="#br0" timeOffset="3446">3062 1095 24575,'0'-18'0,"0"-54"0,0-6 0,0-13 0,-1 12 0,1-5 0,-1-1-604,1-10 1,-2-2 0,1 2 603,0 5 0,0 0 0,0 5 0,0 50 0</inkml:trace>
  <inkml:trace contextRef="#ctx0" brushRef="#br0" timeOffset="4202">3472 236 24575,'-17'0'0,"-22"0"0,-36 7 0,23 4 0,-3 5 0,-3 4 0,0 3 0,9 1 0,3 1 0,-31 28 0,24-14 0,25-16 0,4-5 0</inkml:trace>
  <inkml:trace contextRef="#ctx0" brushRef="#br0" timeOffset="4698">2854 253 24575,'40'3'0,"1"4"0,14 5 0,10 7 0,-2 2 0,0-2 0,-15-4 0,-25-9 0,-10-3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0:19:26.01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1 323 24575,'30'0'0,"25"0"0,28 0 0,15 0 0,-2 0 0,-16 0 0,-18 0 0,-20 0 0,-20 0 0,-12 0 0,-6 0 0</inkml:trace>
  <inkml:trace contextRef="#ctx0" brushRef="#br0" timeOffset="624">498 298 24575,'18'0'0,"8"0"0,12 0 0,4 0 0,-2 0 0,-11 1 0,-13 3 0,-12 1 0,-19 4 0,-18 2 0,-17 4 0,-9 5 0,6-1 0,13-1 0,20-8 0,12-5 0</inkml:trace>
  <inkml:trace contextRef="#ctx0" brushRef="#br0" timeOffset="1495">1227 233 24575,'-22'0'0,"-11"0"0,-16 0 0,-2 0 0,16 2 0,15 1 0,15 5 0,13 4 0,11 1 0,17 0 0,14-2 0,5 0 0,-5 0 0,-12 1 0,-20 0 0,-25-3 0,-23-3 0,-19-3 0,-10-3 0,8 0 0,10 0 0,14 0 0,16 0 0,4 0 0</inkml:trace>
  <inkml:trace contextRef="#ctx0" brushRef="#br0" timeOffset="1916">1025 124 24575,'0'43'0,"0"14"0,0 18 0,0 5 0,0-11 0,0-31 0,0-16 0</inkml:trace>
  <inkml:trace contextRef="#ctx0" brushRef="#br0" timeOffset="2889">1597 82 24575,'0'13'0,"0"2"0,0 1 0,1-4 0,3-4 0,8-6 0,8-2 0,6 0 0,6 0 0,0 1 0,-5 5 0,-4 10 0,-11 11 0,-5 8 0,-10 0 0,-13-4 0,-10-10 0,-8-9 0,-1-6 0,6-7 0,5-4 0,5-4 0,6-3 0,6 1 0,3 2 0,4 5 0,0 1 0</inkml:trace>
  <inkml:trace contextRef="#ctx0" brushRef="#br0" timeOffset="3324">1583 49 24575,'2'-6'0,"3"3"0,7 0 0,10 3 0,4 0 0,4 0 0,-1 0 0,-5 0 0,1 0 0,1 0 0,3 0 0,2 0 0,-13 0 0,-4 0 0</inkml:trace>
  <inkml:trace contextRef="#ctx0" brushRef="#br0" timeOffset="3972">1927 61 24575,'0'62'0,"0"-7"0,0-27 0,0-5 0,0-2 0,4-4 0,7-1 0,14-2 0,13-4 0,8-5 0,-1-5 0,-9-12 0,-12-13 0,-12-16 0,-10-9 0,-14-3 0,-10 5 0,-7 10 0,-2 12 0,2 13 0,-2 8 0,1 4 0,3 4 0,7 4 0,10-3 0,3 1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0:19:34.555"/>
    </inkml:context>
    <inkml:brush xml:id="br0">
      <inkml:brushProperty name="width" value="0.035" units="cm"/>
      <inkml:brushProperty name="height" value="0.035" units="cm"/>
      <inkml:brushProperty name="color" value="#281DFF"/>
    </inkml:brush>
  </inkml:definitions>
  <inkml:trace contextRef="#ctx0" brushRef="#br0">0 186 24575,'46'17'0,"1"1"0,10 2 0,-1-4 0,1-7 0,-3-4 0,-3-4 0,-5-1 0,-2 0 0,-1 0 0,2 0 0,-3 0 0,-2 0 0,-4 0 0,-5 0 0,-5 0 0,-5 0 0,-5-2 0,-4-2 0,-4-2 0,-2-3 0,-4 0 0,0 0 0,-1 0 0,1 3 0,-1-1 0,0 0 0,-1-2 0,0-2 0,0-5 0,0-3 0,-1 0 0,-5 1 0,-7 1 0,-7 1 0,-8 0 0,-5 0 0,-5 2 0,-4 3 0,-2 2 0,-1 3 0,-2 2 0,-1 2 0,0 1 0,2 1 0,2 0 0,5 0 0,3 0 0,4 2 0,2 0 0,3 3 0,4 3 0,2 2 0,4 1 0,2 1 0,3-1 0,3-1 0,2 0 0,3-1 0,1-2 0,2-3 0,0-2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0:19:39.666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1 918 24575,'21'6'0,"13"16"0,19 21 0,9 14 0,0 7 0,-5-1 0,-11-8 0,-8-9 0,-10-11 0,-8-12 0,-5-7 0,-5-8 0,-6-5 0,-2-2 0</inkml:trace>
  <inkml:trace contextRef="#ctx0" brushRef="#br0" timeOffset="570">721 649 24575,'-29'57'0,"-10"23"0,12-26 0,0 4 0,2 1 0,1 1 0,4-4 0,4-2 0,-3 30 0,13-30 0,4-25 0,2-17 0</inkml:trace>
  <inkml:trace contextRef="#ctx0" brushRef="#br0" timeOffset="2080">14 245 24575,'-3'-3'0,"5"2"0,12-1 0,16 2 0,10 0 0,9 0 0,-6 0 0,-7 0 0,-11 0 0,-14 0 0,-5 0 0</inkml:trace>
  <inkml:trace contextRef="#ctx0" brushRef="#br0" timeOffset="2889">560 136 24575,'-13'0'0,"-7"0"0,-7-1 0,-2 3 0,9 3 0,8 3 0,7 4 0,7-1 0,8-1 0,10 0 0,8-1 0,3 1 0,-4 0 0,-5 0 0,-8 0 0,-6 1 0,-5 2 0,-2-2 0,-5 2 0,-8-1 0,-9 1 0,-5-3 0,0-4 0,4-4 0,11-2 0,4 0 0</inkml:trace>
  <inkml:trace contextRef="#ctx0" brushRef="#br0" timeOffset="3432">483 1 24575,'0'27'0,"0"16"0,0 25 0,0 1 0,0 1 0,0-6 0,0-12 0,0-4 0,0-25 0,0-11 0</inkml:trace>
  <inkml:trace contextRef="#ctx0" brushRef="#br0" timeOffset="4800">769 3 24575,'11'0'0,"10"0"0,18 0 0,0 3 0,-9 4 0,-12 8 0,-16 9 0,-16 10 0,-15 5 0,-10-1 0,0-8 0,10-11 0,10-7 0,19-4 0,18 1 0,11 1 0,6 4 0,-8 2 0,-11 4 0,-9 2 0,-12 3 0,-14 1 0,-10-4 0,-5-6 0,5-6 0,14-7 0,7-2 0</inkml:trace>
  <inkml:trace contextRef="#ctx0" brushRef="#br0" timeOffset="5453">1059 151 24575,'0'11'0,"0"8"0,0 11 0,2 8 0,6 2 0,6-9 0,7-9 0,3-9 0,3-6 0,4-4 0,0-9 0,-1-14 0,-7-12 0,-8-10 0,-9-1 0,-14 5 0,-14 4 0,-13 5 0,-5 6 0,2 7 0,5 8 0,16 5 0,5 3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0:19:52.0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570 9 24575,'0'14'0,"0"1"0,0 5 0,0-1 0,0 2 0,-1 1 0,-4 2 0,-3 5 0,-3 1 0,-3 1 0,1-2 0,0-1 0,-1-3 0,-2 0 0,-3-1 0,-4 3 0,-2 4 0,-7 2 0,-2 4 0,-3-1 0,1-2 0,5-1 0,2-2 0,0-1 0,-1 5 0,-1 2 0,2 7 0,3 5 0,5 7 0,5 6 0,4 3 0,5 1 0,2-5 0,3-1 0,1-6 0,3-5 0,5-5 0,8-4 0,10-2 0,7-2 0,6-2 0,9-3 0,7-3 0,6-4 0,3-4 0,1-6 0,-3-6 0,-1-4 0,-1-4 0,0 0 0,4 0 0,2 0 0,1-4 0,0-3 0,-4-6 0,-4-6 0,-6-4 0,-8-6 0,-9-5 0,-8-2 0,-6 2 0,-7 3 0,-4 3 0,-5-1 0,-4-5 0,-1-4 0,0 1 0,0 3 0,-1 4 0,-3 2 0,-3 3 0,-1 2 0,2 2 0,1 2 0,0 0 0,-4-3 0,-3-1 0,-4-5 0,-3 0 0,-2-1 0,-3 2 0,-1 2 0,-2 2 0,1 0 0,0 0 0,2 2 0,3 2 0,2 2 0,2 2 0,0-1 0,-1-2 0,-1 2 0,1 0 0,3 1 0,3 0 0,2-1 0,-1-2 0,-1 0 0,-1-2 0,0-3 0,1 2 0,1-2 0,1 1 0,2 1 0,1 2 0,3 1 0,2-1 0,1 0 0,1-1 0,0 1 0,0-3 0,0 1 0,-2-2 0,-1 1 0,-2 3 0,0 1 0,-1 0 0,0 1 0,2-1 0,1-1 0,0 2 0,0-1 0,-1-1 0,-2 2 0,1 1 0,-1 5 0,0 4 0,0 4 0,0 3 0,-1 0 0,0 0 0,-1 0 0,1 0 0,1 1 0,3-1 0,2 1 0</inkml:trace>
  <inkml:trace contextRef="#ctx0" brushRef="#br0" timeOffset="1558">631 645 24575,'-11'0'0,"-7"0"0,-5 0 0,-2 0 0,6 0 0,7 1 0,6 6 0,4 3 0,2 4 0,10 2 0,9-4 0,10 0 0,5-3 0,-3-3 0,-6-2 0,-8 0 0,-7 0 0,-7 0 0,-7 0 0,-10 0 0,-11-2 0,-9 0 0,-3-2 0,3 0 0,6 0 0,12 0 0,7 0 0</inkml:trace>
  <inkml:trace contextRef="#ctx0" brushRef="#br0" timeOffset="2117">553 507 24575,'0'26'0,"0"1"0,0 16 0,0 16 0,0 2 0,0 7 0,0-17 0,0-25 0,0-13 0</inkml:trace>
  <inkml:trace contextRef="#ctx0" brushRef="#br0" timeOffset="3094">353 1057 24575,'29'0'0,"-3"0"0,-5 2 0,-9 6 0,-6 9 0,-12 14 0,-12 8 0,-12 3 0,-7-5 0,5-10 0,14-10 0,16-8 0,15-5 0,12-3 0,9 0 0,1-1 0,-2 0 0,-3 0 0,-8 0 0,-10 0 0,-4 0 0</inkml:trace>
  <inkml:trace contextRef="#ctx0" brushRef="#br0" timeOffset="3713">580 1161 24575,'1'27'0,"6"4"0,6 1 0,7-8 0,4-11 0,-2-8 0,-4-4 0,-6-3 0,-3-8 0,-4-9 0,-1-9 0,-2-5 0,-2 4 0,-3 7 0,-5 5 0,-11 5 0,-9 3 0,-6 1 0,0 4 0,9 3 0,12 1 0,7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1:17:28.27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1590 498 24575,'-19'-3'0,"-13"0"0,-24 3 0,-29 0 0,31 0 0,-3 0 0,-6 0 0,-1 0 0,-9 0 0,-2 0 0,-7-1 0,0 2 0,-2 3 0,-1 5 0,0 4 0,3 6 0,9 3 0,5 5 0,8 4 0,4 4 0,3 4 0,5 4 0,8 5 0,5 5 0,6 6 0,6 6 0,5 9 0,9 4 0,13 6 0,11-1 0,7-2 0,9-3 0,10-5 0,8-8 0,8-13 0,4-9 0,-1-10 0,1-8 0,-4-6 0,-1-6 0,35-1 0,-21-13 0,-17-7 0,-1-1 0,20 2 0,-24 5 0,4 2 0,19-1 0,5 2 0,14 1 0,3 2 0,4-1 0,0 1 0,1-1 0,-2 1 0,-11-1 0,-5-2 0,-12-4 0,-4-4 0,-9-1 0,-4-3 0,33-17 0,0-6 0,-36 18 0,4 1 0,5 1 0,3 0 0,11-1 0,3 0 0,2-2 0,1-3 0,-3-3 0,-1-4 0,-4-2 0,-3-4 0,-10-2 0,-5-3 0,-7 0 0,-4-1 0,24-34 0,-20 12 0,-9 14 0,0 10 0,5 4 0,7-7 0,-1-16 0,-5-28 0,-24 33 0,-7-3 0,-10-6 0,-11 0 0,-14 0 0,-12 4 0,-18 4 0,-11 7 0,-10 6 0,-6 7 0,-4 8 0,-1 7 0,7 5 0,2 5 0,14 4 0,5 1 0,-31 2 0,39 0 0,24 0 0,2 0 0,-21-1 0,-44-7 0,23 2 0,-7-1 0,-18-1 0,-5 0 0,29 3 0,-3 0 0,2 1 0,0 1 0,1 1 0,1 1 0,-23 0 0,4 3 0,17 1 0,6 4 0,-30 13 0,37 7 0,25 4 0,15-3 0,3-5 0,-1-2 0,-4-8 0,-6-5 0,-7-4 0,-6-3 0,-2-1 0,0 0 0,7 0 0,15 0 0,5 0 0</inkml:trace>
  <inkml:trace contextRef="#ctx0" brushRef="#br0" timeOffset="1746">869 705 24575,'0'34'0,"1"29"0,9 30 0,8 4 0,12-7 0,12-20 0,4-21 0,6-15 0,-4-23 0,-2-30 0,-6-45 0,-23 15 0,-5-5 0,-1-11 0,-4-1 0,-3 2 0,-3 4 0,-8-29 0,-10 36 0,-7 31 0,-1 29 0,9 28 0,10 35 0,20 23 0,3-44 0,4-3 0,39 33 0,19-32 0,11-22 0,2-33 0,0-28 0,-9-18 0,-19-6 0,-19 15 0,-20 18 0,-15 14 0,-14 8 0,-15 7 0,-17 12 0,-11 13 0,-2 16 0,7 6 0,16-1 0,12-9 0,11-10 0,13-10 0,13-10 0,9-17 0,3-22 0,-7-15 0,-9-8 0,-9 11 0,-3 20 0,-2 22 0,5 21 0,7 14 0,9 3 0,8-6 0,3-14 0,4-23 0,-3-22 0,-4-14 0,-1-1 0,-1 13 0,6 15 0,10 10 0,6 4 0,-3 0 0,-10-3 0,-19-17 0,-31-24 0,-37-23 0,10 27 0,-4 0 0,-5 1 0,-1 2 0,-30-27 0,26 11 0,26 0 0,25-7 0,25-6 0,23-7 0,19 4 0,5 9 0,-12 11 0,-17 15 0,-15 13 0,-17 12 0,-6 6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1:17:36.84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10 0 24575,'-6'94'0,"2"-12"0,4-26 0,0-14 0,1-13 0,3-10 0,11-6 0,11-7 0,13-4 0,5-5 0,-5-13 0,-9-18 0,-14-13 0,-12-6 0,-25 14 0,-22 17 0,12 13 0,-4 9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1:17:33.10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1 336 24575,'13'4'0,"4"1"0,8-1 0,1 0 0,6-1 0,1-1 0,1-2 0,3-5 0,-8-16 0,-8-22 0,-9-21 0,-7-8 0,-12 7 0,-14 19 0,-16 18 0,-13 16 0,-2 11 0,7 10 0,11 15 0,17-10 0,10 5 0</inkml:trace>
  <inkml:trace contextRef="#ctx0" brushRef="#br0" timeOffset="800">487 251 24575,'-4'20'0,"2"20"0,1 19 0,1 7 0,0-9 0,2-20 0,7-16 0,9-10 0,7-7 0,4-2 0,-1-2 0,-4-8 0,-5-14 0,-5-16 0,-6-17 0,-6-5 0,-16 4 0,-17 6 0,-14 11 0,-4 11 0,6 12 0,19 9 0,11 6 0</inkml:trace>
  <inkml:trace contextRef="#ctx0" brushRef="#br0" timeOffset="1385">712 429 24575,'0'15'0,"0"9"0,0 12 0,4 11 0,11 2 0,11-5 0,12-14 0,3-12 0,-5-12 0,-8-13 0,-10-16 0,-9-18 0,-5-16 0,-10-4 0,-16 9 0,-15 12 0,11 21 0,2 9 0</inkml:trace>
  <inkml:trace contextRef="#ctx0" brushRef="#br0" timeOffset="1954">990 791 24575,'0'19'0,"0"4"0,0 12 0,0 12 0,0 8 0,0 5 0,0-3 0,0-11 0,1-13 0,8-14 0,11-10 0,10-7 0,4-2 0,-5-10 0,-10-16 0,-8-22 0,-11-18 0,-15-4 0,-11 9 0,-8 20 0,13 19 0,6 14 0</inkml:trace>
  <inkml:trace contextRef="#ctx0" brushRef="#br0" timeOffset="2537">1106 1340 24575,'0'8'0,"0"3"0,0 4 0,0 7 0,0 8 0,0 3 0,0 2 0,0-5 0,1-6 0,12-8 0,12-6 0,12-4 0,4-3 0,-11-4 0,-6-17 0,-11-23 0,-6-20 0,-4-11 0,-14 10 0,-15 21 0,10 20 0,-6 14 0</inkml:trace>
  <inkml:trace contextRef="#ctx0" brushRef="#br0" timeOffset="3103">1180 1690 24575,'-8'24'0,"2"3"0,0 12 0,2 3 0,4 1 0,0-2 0,6-6 0,13-7 0,16-10 0,12-9 0,1-6 0,-12-10 0,-14-16 0,-12-14 0,-15-10 0,-15 3 0,-14 12 0,-6 13 0,14 10 0,11 8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1:17:48.12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531 1 24575,'0'8'0,"0"5"0,0 6 0,0 3 0,0 10 0,0 3 0,0 7 0,0 10 0,-3 2 0,-6 4 0,-6 1 0,-9 1 0,-7 3 0,-8 1 0,-6 3 0,-3 0 0,-2 0 0,1-1 0,1 0 0,2 4 0,6 0 0,5 4 0,11 2 0,9-3 0,8-1 0,5-7 0,8-8 0,10-5 0,13-5 0,15-3 0,13-3 0,10-1 0,8-3 0,6-5 0,3-6 0,1-7 0,2-8 0,1-5 0,-2-6 0,-2-11 0,-8-13 0,-8-13 0,-7-15 0,-8-10 0,-5-10 0,-8-8 0,-5-5 0,-8 0 0,-10 2 0,-7 7 0,-8 9 0,-2 6 0,0 6 0,-1-2 0,-6 0 0,-8 1 0,-8 3 0,-6 4 0,-6 0 0,-6 2 0,-5-4 0,-6-1 0,-2 2 0,1 5 0,3 7 0,1 4 0,-1 1 0,1 0 0,1-2 0,5 3 0,7 3 0,6 2 0,7 3 0,5 1 0,6 5 0,3 2 0,3 3 0,2 2 0,2-1 0,1 2 0,0 2 0,1 3 0,-2 4 0</inkml:trace>
  <inkml:trace contextRef="#ctx0" brushRef="#br0" timeOffset="1679">807 674 24575,'-25'0'0,"-2"0"0,-5 0 0,8 1 0,7 2 0,9 3 0,6 4 0,0-1 0,2 0 0,1-1 0,8-2 0,13 0 0,14-1 0,13 1 0,4 1 0,-5 1 0,-9 0 0,-11-1 0,-13 0 0,-10-2 0,-11-2 0,-12-1 0,-12-2 0,-8 0 0,-2 0 0,4 0 0,6 0 0,8 0 0,7 0 0,7 0 0,3 0 0</inkml:trace>
  <inkml:trace contextRef="#ctx0" brushRef="#br0" timeOffset="2314">727 469 24575,'0'33'0,"0"15"0,0 6 0,0 11 0,0-1 0,0-3 0,0 0 0,0-22 0,0-18 0,0-13 0,0-6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0T01:18:01.07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1 296 24575,'18'-9'0,"6"-14"0,5-13 0,-1-10 0,-7 1 0,-7 7 0,-1 7 0,-8 17 0,-3 20 0,0 22 0,-2 23 0,1 17 0,1 4 0,2-8 0,1-16 0,0-16 0,-3-16 0,0-7 0</inkml:trace>
  <inkml:trace contextRef="#ctx0" brushRef="#br0" timeOffset="1121">657 15 24575,'-4'-7'0,"-12"3"0,-17 1 0,-13 8 0,0 3 0,8 8 0,14 4 0,12 0 0,5 3 0,7-5 0,0 3 0,0 3 0,5 1 0,7 2 0,7-4 0,8-3 0,1-6 0,0-5 0,0-6 0,-2-3 0,-1 0 0,-4 0 0,-2-2 0,-4-7 0,-5-4 0,-4-6 0,-4 0 0,-3 2 0,-3 3 0,-6 4 0,-6 3 0,-7 3 0,-2 3 0,-3 6 0,0 11 0,3 13 0,4 12 0,9 2 0,7-6 0,3-8 0,2-10 0,0-11 0,0-2 0</inkml:trace>
</inkml: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E127E-DAC5-924E-9082-D9F7951F905F}">
  <dimension ref="A1:G30"/>
  <sheetViews>
    <sheetView tabSelected="1" topLeftCell="A8" zoomScale="130" zoomScaleNormal="130" workbookViewId="0">
      <selection activeCell="B29" sqref="B29"/>
    </sheetView>
  </sheetViews>
  <sheetFormatPr baseColWidth="10" defaultRowHeight="16" x14ac:dyDescent="0.2"/>
  <cols>
    <col min="1" max="1" width="42.6640625" bestFit="1" customWidth="1"/>
    <col min="2" max="2" width="19.5" customWidth="1"/>
    <col min="3" max="3" width="17.5" bestFit="1" customWidth="1"/>
    <col min="4" max="4" width="37.33203125" customWidth="1"/>
    <col min="5" max="5" width="13.1640625" bestFit="1" customWidth="1"/>
    <col min="6" max="6" width="20" bestFit="1" customWidth="1"/>
  </cols>
  <sheetData>
    <row r="1" spans="1:7" ht="17" thickBot="1" x14ac:dyDescent="0.25"/>
    <row r="2" spans="1:7" x14ac:dyDescent="0.2">
      <c r="B2" s="24" t="s">
        <v>12</v>
      </c>
      <c r="C2" s="20" t="s">
        <v>13</v>
      </c>
      <c r="D2" t="s">
        <v>14</v>
      </c>
      <c r="E2" s="29">
        <v>12500</v>
      </c>
    </row>
    <row r="3" spans="1:7" ht="17" thickBot="1" x14ac:dyDescent="0.25">
      <c r="B3" s="25"/>
      <c r="C3" s="27">
        <v>200000</v>
      </c>
      <c r="E3" s="29"/>
    </row>
    <row r="4" spans="1:7" x14ac:dyDescent="0.2">
      <c r="B4" s="25"/>
      <c r="C4" s="21" t="s">
        <v>15</v>
      </c>
      <c r="D4" t="s">
        <v>16</v>
      </c>
      <c r="E4" s="29"/>
    </row>
    <row r="5" spans="1:7" ht="17" thickBot="1" x14ac:dyDescent="0.25">
      <c r="B5" s="26"/>
      <c r="C5" s="28">
        <v>200000</v>
      </c>
      <c r="D5" s="22">
        <v>1.4999999999999999E-2</v>
      </c>
      <c r="E5" s="29">
        <f>D5*(C5+C3)</f>
        <v>6000</v>
      </c>
      <c r="F5" s="23" t="str">
        <f ca="1">_xlfn.FORMULATEXT(E5)</f>
        <v>=D5*(C5+C3)</v>
      </c>
    </row>
    <row r="6" spans="1:7" x14ac:dyDescent="0.2">
      <c r="E6" s="29"/>
    </row>
    <row r="7" spans="1:7" x14ac:dyDescent="0.2">
      <c r="B7" t="s">
        <v>17</v>
      </c>
    </row>
    <row r="8" spans="1:7" ht="17" thickBot="1" x14ac:dyDescent="0.25"/>
    <row r="9" spans="1:7" ht="17" thickBot="1" x14ac:dyDescent="0.25">
      <c r="A9" t="s">
        <v>19</v>
      </c>
      <c r="B9" s="29">
        <v>50</v>
      </c>
      <c r="D9" t="s">
        <v>18</v>
      </c>
      <c r="E9" s="30">
        <v>3000</v>
      </c>
    </row>
    <row r="10" spans="1:7" ht="17" thickBot="1" x14ac:dyDescent="0.25">
      <c r="A10" t="s">
        <v>20</v>
      </c>
      <c r="B10" s="29">
        <v>30</v>
      </c>
    </row>
    <row r="11" spans="1:7" x14ac:dyDescent="0.2">
      <c r="A11" s="31" t="s">
        <v>21</v>
      </c>
      <c r="B11" s="32">
        <f>B9-B10</f>
        <v>20</v>
      </c>
      <c r="C11" s="23" t="str">
        <f ca="1">_xlfn.FORMULATEXT(B11)</f>
        <v>=B9-B10</v>
      </c>
      <c r="D11" s="36" t="s">
        <v>25</v>
      </c>
      <c r="E11" s="37"/>
      <c r="G11" s="42" t="s">
        <v>39</v>
      </c>
    </row>
    <row r="12" spans="1:7" x14ac:dyDescent="0.2">
      <c r="D12" s="38" t="s">
        <v>26</v>
      </c>
      <c r="E12" s="39">
        <f>E9*B9</f>
        <v>150000</v>
      </c>
      <c r="F12" s="23" t="str">
        <f t="shared" ref="F12:F22" ca="1" si="0">_xlfn.FORMULATEXT(E12)</f>
        <v>=E9*B9</v>
      </c>
      <c r="G12" s="43"/>
    </row>
    <row r="13" spans="1:7" x14ac:dyDescent="0.2">
      <c r="A13" s="31" t="s">
        <v>22</v>
      </c>
      <c r="B13" s="35">
        <v>50000</v>
      </c>
      <c r="D13" s="40" t="s">
        <v>27</v>
      </c>
      <c r="E13" s="41">
        <f>E9*B10</f>
        <v>90000</v>
      </c>
      <c r="F13" s="23" t="str">
        <f t="shared" ca="1" si="0"/>
        <v>=E9*B10</v>
      </c>
      <c r="G13" s="43"/>
    </row>
    <row r="14" spans="1:7" x14ac:dyDescent="0.2">
      <c r="A14" t="s">
        <v>23</v>
      </c>
      <c r="B14" s="29">
        <v>1000</v>
      </c>
      <c r="D14" s="38" t="s">
        <v>28</v>
      </c>
      <c r="E14" s="39">
        <f>E12-E13</f>
        <v>60000</v>
      </c>
      <c r="F14" s="23" t="str">
        <f t="shared" ca="1" si="0"/>
        <v>=E12-E13</v>
      </c>
      <c r="G14" s="43"/>
    </row>
    <row r="15" spans="1:7" x14ac:dyDescent="0.2">
      <c r="A15" t="s">
        <v>24</v>
      </c>
      <c r="B15" s="33">
        <f>B13-B14</f>
        <v>49000</v>
      </c>
      <c r="C15" s="23" t="str">
        <f ca="1">_xlfn.FORMULATEXT(B15)</f>
        <v>=B13-B14</v>
      </c>
      <c r="D15" s="40" t="s">
        <v>29</v>
      </c>
      <c r="E15" s="41">
        <f>B15</f>
        <v>49000</v>
      </c>
      <c r="F15" s="23" t="str">
        <f t="shared" ca="1" si="0"/>
        <v>=B15</v>
      </c>
      <c r="G15" s="43"/>
    </row>
    <row r="16" spans="1:7" x14ac:dyDescent="0.2">
      <c r="D16" s="59" t="s">
        <v>30</v>
      </c>
      <c r="E16" s="61">
        <f>E14-E15</f>
        <v>11000</v>
      </c>
      <c r="F16" s="23" t="str">
        <f t="shared" ca="1" si="0"/>
        <v>=E14-E15</v>
      </c>
      <c r="G16" s="43"/>
    </row>
    <row r="17" spans="1:7" x14ac:dyDescent="0.2">
      <c r="A17" t="s">
        <v>31</v>
      </c>
      <c r="D17" s="40" t="s">
        <v>32</v>
      </c>
      <c r="E17" s="41">
        <f>B14</f>
        <v>1000</v>
      </c>
      <c r="F17" s="23" t="str">
        <f t="shared" ca="1" si="0"/>
        <v>=B14</v>
      </c>
      <c r="G17" s="43"/>
    </row>
    <row r="18" spans="1:7" x14ac:dyDescent="0.2">
      <c r="D18" s="38" t="s">
        <v>33</v>
      </c>
      <c r="E18" s="39">
        <f>E16-E17</f>
        <v>10000</v>
      </c>
      <c r="F18" s="23" t="str">
        <f t="shared" ca="1" si="0"/>
        <v>=E16-E17</v>
      </c>
      <c r="G18" s="43"/>
    </row>
    <row r="19" spans="1:7" x14ac:dyDescent="0.2">
      <c r="A19" t="s">
        <v>34</v>
      </c>
      <c r="B19" s="22">
        <v>0.2</v>
      </c>
      <c r="D19" s="40" t="s">
        <v>35</v>
      </c>
      <c r="E19" s="41">
        <f>IF(E18&lt;0,0,E18*B19)</f>
        <v>2000</v>
      </c>
      <c r="F19" s="23" t="str">
        <f t="shared" ca="1" si="0"/>
        <v>=SE(E18&lt;0;0;E18*B19)</v>
      </c>
      <c r="G19" s="43"/>
    </row>
    <row r="20" spans="1:7" x14ac:dyDescent="0.2">
      <c r="D20" s="47" t="s">
        <v>36</v>
      </c>
      <c r="E20" s="48">
        <f>E18-E19</f>
        <v>8000</v>
      </c>
      <c r="F20" s="23" t="str">
        <f t="shared" ca="1" si="0"/>
        <v>=E18-E19</v>
      </c>
      <c r="G20" s="43"/>
    </row>
    <row r="21" spans="1:7" x14ac:dyDescent="0.2">
      <c r="A21" s="31" t="s">
        <v>50</v>
      </c>
      <c r="B21" s="32">
        <f>B11-B19*B11</f>
        <v>16</v>
      </c>
      <c r="C21" s="23" t="str">
        <f ca="1">_xlfn.FORMULATEXT(B21)</f>
        <v>=B11-B19*B11</v>
      </c>
      <c r="D21" s="40" t="s">
        <v>37</v>
      </c>
      <c r="E21" s="41">
        <f>E5</f>
        <v>6000</v>
      </c>
      <c r="F21" s="23" t="str">
        <f t="shared" ca="1" si="0"/>
        <v>=E5</v>
      </c>
      <c r="G21" s="43"/>
    </row>
    <row r="22" spans="1:7" ht="17" thickBot="1" x14ac:dyDescent="0.25">
      <c r="D22" s="45" t="s">
        <v>38</v>
      </c>
      <c r="E22" s="46">
        <f>E20-E21</f>
        <v>2000</v>
      </c>
      <c r="F22" s="23" t="str">
        <f t="shared" ca="1" si="0"/>
        <v>=E20-E21</v>
      </c>
      <c r="G22" s="44"/>
    </row>
    <row r="23" spans="1:7" ht="17" thickBot="1" x14ac:dyDescent="0.25">
      <c r="A23" t="s">
        <v>47</v>
      </c>
      <c r="B23" s="34">
        <f>B13/B11</f>
        <v>2500</v>
      </c>
      <c r="C23" s="23" t="str">
        <f ca="1">_xlfn.FORMULATEXT(B23)</f>
        <v>=B13/B11</v>
      </c>
    </row>
    <row r="24" spans="1:7" x14ac:dyDescent="0.2">
      <c r="A24" t="s">
        <v>49</v>
      </c>
      <c r="B24" s="34">
        <f>B23+E5/B21</f>
        <v>2875</v>
      </c>
      <c r="C24" s="23" t="str">
        <f ca="1">_xlfn.FORMULATEXT(B24)</f>
        <v>=B23+E5/B21</v>
      </c>
      <c r="D24" s="49" t="s">
        <v>40</v>
      </c>
      <c r="E24" s="50"/>
      <c r="G24" s="54" t="s">
        <v>46</v>
      </c>
    </row>
    <row r="25" spans="1:7" x14ac:dyDescent="0.2">
      <c r="A25" t="s">
        <v>48</v>
      </c>
      <c r="B25" s="62">
        <f>B23+(E2-B14)/B21</f>
        <v>3218.75</v>
      </c>
      <c r="C25" s="23" t="str">
        <f ca="1">_xlfn.FORMULATEXT(B25)</f>
        <v>=B23+(E2-B14)/B21</v>
      </c>
      <c r="D25" s="47" t="s">
        <v>41</v>
      </c>
      <c r="E25" s="51">
        <f>E20</f>
        <v>8000</v>
      </c>
      <c r="F25" s="23" t="str">
        <f t="shared" ref="F25:F29" ca="1" si="1">_xlfn.FORMULATEXT(E25)</f>
        <v>=E20</v>
      </c>
      <c r="G25" s="55"/>
    </row>
    <row r="26" spans="1:7" x14ac:dyDescent="0.2">
      <c r="D26" s="40" t="s">
        <v>42</v>
      </c>
      <c r="E26" s="52">
        <f>E17</f>
        <v>1000</v>
      </c>
      <c r="F26" s="23" t="str">
        <f t="shared" ca="1" si="1"/>
        <v>=E17</v>
      </c>
      <c r="G26" s="55"/>
    </row>
    <row r="27" spans="1:7" x14ac:dyDescent="0.2">
      <c r="A27" t="s">
        <v>51</v>
      </c>
      <c r="D27" s="59" t="s">
        <v>43</v>
      </c>
      <c r="E27" s="60">
        <f>E25+E26</f>
        <v>9000</v>
      </c>
      <c r="F27" s="23" t="str">
        <f t="shared" ca="1" si="1"/>
        <v>=E25+E26</v>
      </c>
      <c r="G27" s="55"/>
    </row>
    <row r="28" spans="1:7" x14ac:dyDescent="0.2">
      <c r="A28" s="34" t="s">
        <v>52</v>
      </c>
      <c r="B28" s="63">
        <f>E20/(C3+C5)</f>
        <v>0.02</v>
      </c>
      <c r="D28" s="40" t="s">
        <v>44</v>
      </c>
      <c r="E28" s="52">
        <f>E2</f>
        <v>12500</v>
      </c>
      <c r="F28" s="23" t="str">
        <f t="shared" ca="1" si="1"/>
        <v>=E2</v>
      </c>
      <c r="G28" s="55"/>
    </row>
    <row r="29" spans="1:7" ht="17" thickBot="1" x14ac:dyDescent="0.25">
      <c r="A29" t="s">
        <v>53</v>
      </c>
      <c r="D29" s="57" t="s">
        <v>45</v>
      </c>
      <c r="E29" s="58">
        <f>E27-E28</f>
        <v>-3500</v>
      </c>
      <c r="F29" s="23" t="str">
        <f t="shared" ca="1" si="1"/>
        <v>=E27-E28</v>
      </c>
      <c r="G29" s="56"/>
    </row>
    <row r="30" spans="1:7" x14ac:dyDescent="0.2">
      <c r="G30" s="53"/>
    </row>
  </sheetData>
  <mergeCells count="5">
    <mergeCell ref="B2:B5"/>
    <mergeCell ref="D11:E11"/>
    <mergeCell ref="G11:G22"/>
    <mergeCell ref="D24:E24"/>
    <mergeCell ref="G24:G2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C2B0-E2CB-BB40-BEF2-E1E8C55F5A3B}">
  <dimension ref="A1:E12"/>
  <sheetViews>
    <sheetView workbookViewId="0">
      <selection activeCell="F26" sqref="F26"/>
    </sheetView>
  </sheetViews>
  <sheetFormatPr baseColWidth="10" defaultRowHeight="16" x14ac:dyDescent="0.2"/>
  <cols>
    <col min="1" max="1" width="36" bestFit="1" customWidth="1"/>
    <col min="4" max="4" width="18.33203125" bestFit="1" customWidth="1"/>
  </cols>
  <sheetData>
    <row r="1" spans="1:5" x14ac:dyDescent="0.2">
      <c r="A1" s="1"/>
      <c r="B1" s="2"/>
      <c r="C1" s="2"/>
      <c r="D1" s="2"/>
    </row>
    <row r="2" spans="1:5" x14ac:dyDescent="0.2">
      <c r="A2" s="3" t="s">
        <v>0</v>
      </c>
      <c r="B2" s="4" t="s">
        <v>1</v>
      </c>
      <c r="C2" s="5"/>
      <c r="D2" s="6" t="s">
        <v>2</v>
      </c>
    </row>
    <row r="3" spans="1:5" x14ac:dyDescent="0.2">
      <c r="A3" s="7" t="s">
        <v>3</v>
      </c>
      <c r="B3" s="8">
        <v>735</v>
      </c>
      <c r="C3" s="2"/>
      <c r="D3" s="9" t="s">
        <v>4</v>
      </c>
    </row>
    <row r="4" spans="1:5" x14ac:dyDescent="0.2">
      <c r="A4" s="7" t="s">
        <v>5</v>
      </c>
      <c r="B4" s="8">
        <v>635</v>
      </c>
      <c r="C4" s="2"/>
      <c r="D4" s="2" t="s">
        <v>11</v>
      </c>
      <c r="E4" s="19">
        <v>0.133333333333333</v>
      </c>
    </row>
    <row r="5" spans="1:5" x14ac:dyDescent="0.2">
      <c r="A5" s="10" t="s">
        <v>6</v>
      </c>
      <c r="B5" s="11">
        <f>SUM(B3:B4)</f>
        <v>1370</v>
      </c>
      <c r="C5" s="2"/>
      <c r="D5" s="2"/>
    </row>
    <row r="6" spans="1:5" x14ac:dyDescent="0.2">
      <c r="A6" s="12" t="s">
        <v>7</v>
      </c>
      <c r="B6" s="13" t="s">
        <v>1</v>
      </c>
      <c r="C6" s="2"/>
      <c r="D6" s="2"/>
    </row>
    <row r="7" spans="1:5" x14ac:dyDescent="0.2">
      <c r="A7" s="7" t="s">
        <v>8</v>
      </c>
      <c r="B7" s="8">
        <v>370</v>
      </c>
      <c r="C7" s="2"/>
      <c r="D7" s="2"/>
    </row>
    <row r="8" spans="1:5" x14ac:dyDescent="0.2">
      <c r="A8" s="14" t="s">
        <v>9</v>
      </c>
      <c r="B8" s="15">
        <v>400</v>
      </c>
      <c r="C8" s="2"/>
      <c r="D8" s="2"/>
    </row>
    <row r="9" spans="1:5" x14ac:dyDescent="0.2">
      <c r="A9" s="14" t="s">
        <v>10</v>
      </c>
      <c r="B9" s="15">
        <v>600</v>
      </c>
      <c r="C9" s="2"/>
      <c r="D9" s="2"/>
    </row>
    <row r="10" spans="1:5" x14ac:dyDescent="0.2">
      <c r="A10" s="16" t="s">
        <v>6</v>
      </c>
      <c r="B10" s="17">
        <f>SUM(B7:B9)</f>
        <v>1370</v>
      </c>
      <c r="C10" s="2"/>
      <c r="D10" s="2"/>
    </row>
    <row r="11" spans="1:5" x14ac:dyDescent="0.2">
      <c r="A11" s="1"/>
      <c r="B11" s="18"/>
      <c r="C11" s="2"/>
      <c r="D11" s="2"/>
    </row>
    <row r="12" spans="1:5" x14ac:dyDescent="0.2">
      <c r="A12" s="1"/>
      <c r="B12" s="18"/>
      <c r="C12" s="2"/>
      <c r="D12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511CDFD32BAE4DB6984ACFD1117AAF" ma:contentTypeVersion="16" ma:contentTypeDescription="Crie um novo documento." ma:contentTypeScope="" ma:versionID="e5a9bbd63fbf262578ba03fd80405270">
  <xsd:schema xmlns:xsd="http://www.w3.org/2001/XMLSchema" xmlns:xs="http://www.w3.org/2001/XMLSchema" xmlns:p="http://schemas.microsoft.com/office/2006/metadata/properties" xmlns:ns2="5e253ad8-99bc-4895-b377-eab5d2679348" xmlns:ns3="45bd9b4a-47bd-4c71-9096-100877aa1038" targetNamespace="http://schemas.microsoft.com/office/2006/metadata/properties" ma:root="true" ma:fieldsID="4b31c348399089d26e9ea4df2e2362e0" ns2:_="" ns3:_="">
    <xsd:import namespace="5e253ad8-99bc-4895-b377-eab5d2679348"/>
    <xsd:import namespace="45bd9b4a-47bd-4c71-9096-100877aa103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53ad8-99bc-4895-b377-eab5d267934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f329bc3-ce7e-4e75-9c56-962f8f350e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d9b4a-47bd-4c71-9096-100877aa103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1c5c36c-1c45-4119-aa3b-41677bff21c6}" ma:internalName="TaxCatchAll" ma:showField="CatchAllData" ma:web="45bd9b4a-47bd-4c71-9096-100877aa1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253ad8-99bc-4895-b377-eab5d2679348">
      <Terms xmlns="http://schemas.microsoft.com/office/infopath/2007/PartnerControls"/>
    </lcf76f155ced4ddcb4097134ff3c332f>
    <TaxCatchAll xmlns="45bd9b4a-47bd-4c71-9096-100877aa1038" xsi:nil="true"/>
  </documentManagement>
</p:properties>
</file>

<file path=customXml/itemProps1.xml><?xml version="1.0" encoding="utf-8"?>
<ds:datastoreItem xmlns:ds="http://schemas.openxmlformats.org/officeDocument/2006/customXml" ds:itemID="{B0B1CBDE-3463-46F6-A370-0AE2BD1260E9}"/>
</file>

<file path=customXml/itemProps2.xml><?xml version="1.0" encoding="utf-8"?>
<ds:datastoreItem xmlns:ds="http://schemas.openxmlformats.org/officeDocument/2006/customXml" ds:itemID="{DD300F3D-DB71-4232-9D8F-AA197DE8AB7D}"/>
</file>

<file path=customXml/itemProps3.xml><?xml version="1.0" encoding="utf-8"?>
<ds:datastoreItem xmlns:ds="http://schemas.openxmlformats.org/officeDocument/2006/customXml" ds:itemID="{7F01D789-367D-4D7B-AD75-BD92F24F9C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Caso Prático 1</vt:lpstr>
      <vt:lpstr>Caso Prático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Guasti Lima</dc:creator>
  <cp:lastModifiedBy>Fabiano Guasti Lima</cp:lastModifiedBy>
  <dcterms:created xsi:type="dcterms:W3CDTF">2024-04-13T17:49:53Z</dcterms:created>
  <dcterms:modified xsi:type="dcterms:W3CDTF">2025-10-10T01:24:09Z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0x010100FD511CDFD32BAE4DB6984ACFD1117AAF</vt:lpwstr>
  </property>
</Properties>
</file>