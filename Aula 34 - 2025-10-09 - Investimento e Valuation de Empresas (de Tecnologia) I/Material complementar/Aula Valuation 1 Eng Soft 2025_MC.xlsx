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abianolima/Documents/PECEGE/DIGITAL BUSINESS/ENGENHARIA DE SOFTWARE/"/>
    </mc:Choice>
  </mc:AlternateContent>
  <xr:revisionPtr revIDLastSave="0" documentId="8_{BDE723B5-9C18-544A-B95F-402B5E207C3E}" xr6:coauthVersionLast="47" xr6:coauthVersionMax="47" xr10:uidLastSave="{00000000-0000-0000-0000-000000000000}"/>
  <bookViews>
    <workbookView xWindow="680" yWindow="1000" windowWidth="27840" windowHeight="16000" xr2:uid="{0142BF06-A1B5-6047-ACB5-42C09F4A6F96}"/>
  </bookViews>
  <sheets>
    <sheet name="Caso Prático 1" sheetId="2" r:id="rId1"/>
    <sheet name="Caso Prático 2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2" l="1"/>
  <c r="F5" i="2"/>
  <c r="B10" i="1" l="1"/>
  <c r="B5" i="1"/>
</calcChain>
</file>

<file path=xl/sharedStrings.xml><?xml version="1.0" encoding="utf-8"?>
<sst xmlns="http://schemas.openxmlformats.org/spreadsheetml/2006/main" count="20" uniqueCount="18">
  <si>
    <t>ATIVO</t>
  </si>
  <si>
    <t>$MM</t>
  </si>
  <si>
    <t>DECIS OPERAC/INVEST</t>
  </si>
  <si>
    <t>Ativos operacionais médios</t>
  </si>
  <si>
    <t>DECIS DE FINANC</t>
  </si>
  <si>
    <t>Ativos fixos médios</t>
  </si>
  <si>
    <t>TOTAL</t>
  </si>
  <si>
    <t>P+PL</t>
  </si>
  <si>
    <t>Passivos opeacionais médios</t>
  </si>
  <si>
    <t>Passivos onerosos médios</t>
  </si>
  <si>
    <t>PL médio</t>
  </si>
  <si>
    <t>Ke</t>
  </si>
  <si>
    <t>Capital Investido</t>
  </si>
  <si>
    <t>Capital de Terceiros</t>
  </si>
  <si>
    <t>Prestação</t>
  </si>
  <si>
    <t>Capital Próprio</t>
  </si>
  <si>
    <t>Custo de Oportunidade Mensal</t>
  </si>
  <si>
    <t>Esse negócio apresenta Viabilidade Econômica e Financeira ?????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</si>
</sst>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#,##0.0000"/>
    <numFmt numFmtId="165" formatCode="#,##0.0"/>
  </numFmts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1">
    <xf numFmtId="0" fontId="0" fillId="0" borderId="0" xfId="0"/>
    <xf numFmtId="164" fontId="0" fillId="0" borderId="0" xfId="0" applyNumberFormat="1"/>
    <xf numFmtId="164" fontId="0" fillId="0" borderId="0" xfId="0" applyNumberFormat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164" fontId="3" fillId="2" borderId="2" xfId="0" applyNumberFormat="1" applyFont="1" applyFill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164" fontId="3" fillId="2" borderId="0" xfId="0" applyNumberFormat="1" applyFont="1" applyFill="1" applyAlignment="1">
      <alignment horizontal="center"/>
    </xf>
    <xf numFmtId="164" fontId="0" fillId="2" borderId="3" xfId="0" applyNumberFormat="1" applyFill="1" applyBorder="1"/>
    <xf numFmtId="165" fontId="0" fillId="2" borderId="4" xfId="0" applyNumberFormat="1" applyFill="1" applyBorder="1" applyAlignment="1">
      <alignment horizontal="center"/>
    </xf>
    <xf numFmtId="164" fontId="3" fillId="3" borderId="0" xfId="0" applyNumberFormat="1" applyFont="1" applyFill="1" applyAlignment="1">
      <alignment horizontal="center"/>
    </xf>
    <xf numFmtId="164" fontId="3" fillId="2" borderId="5" xfId="0" applyNumberFormat="1" applyFont="1" applyFill="1" applyBorder="1"/>
    <xf numFmtId="165" fontId="3" fillId="2" borderId="6" xfId="0" applyNumberFormat="1" applyFont="1" applyFill="1" applyBorder="1" applyAlignment="1">
      <alignment horizontal="center"/>
    </xf>
    <xf numFmtId="164" fontId="3" fillId="4" borderId="1" xfId="0" applyNumberFormat="1" applyFont="1" applyFill="1" applyBorder="1" applyAlignment="1">
      <alignment horizontal="center"/>
    </xf>
    <xf numFmtId="164" fontId="3" fillId="4" borderId="2" xfId="0" applyNumberFormat="1" applyFont="1" applyFill="1" applyBorder="1" applyAlignment="1">
      <alignment horizontal="center"/>
    </xf>
    <xf numFmtId="164" fontId="0" fillId="3" borderId="3" xfId="0" applyNumberFormat="1" applyFill="1" applyBorder="1"/>
    <xf numFmtId="165" fontId="0" fillId="3" borderId="4" xfId="0" applyNumberFormat="1" applyFill="1" applyBorder="1" applyAlignment="1">
      <alignment horizontal="center"/>
    </xf>
    <xf numFmtId="164" fontId="3" fillId="4" borderId="5" xfId="0" applyNumberFormat="1" applyFont="1" applyFill="1" applyBorder="1"/>
    <xf numFmtId="165" fontId="3" fillId="4" borderId="6" xfId="0" applyNumberFormat="1" applyFont="1" applyFill="1" applyBorder="1" applyAlignment="1">
      <alignment horizontal="center"/>
    </xf>
    <xf numFmtId="165" fontId="0" fillId="0" borderId="0" xfId="0" applyNumberFormat="1" applyAlignment="1">
      <alignment horizontal="center"/>
    </xf>
    <xf numFmtId="10" fontId="0" fillId="0" borderId="0" xfId="0" applyNumberFormat="1"/>
    <xf numFmtId="0" fontId="0" fillId="5" borderId="7" xfId="0" applyFill="1" applyBorder="1" applyAlignment="1">
      <alignment horizontal="center" vertical="center"/>
    </xf>
    <xf numFmtId="0" fontId="0" fillId="6" borderId="7" xfId="0" applyFill="1" applyBorder="1"/>
    <xf numFmtId="44" fontId="0" fillId="0" borderId="0" xfId="1" applyFont="1"/>
    <xf numFmtId="0" fontId="0" fillId="5" borderId="8" xfId="0" applyFill="1" applyBorder="1" applyAlignment="1">
      <alignment horizontal="center" vertical="center"/>
    </xf>
    <xf numFmtId="0" fontId="0" fillId="6" borderId="9" xfId="0" applyFill="1" applyBorder="1"/>
    <xf numFmtId="0" fontId="0" fillId="7" borderId="7" xfId="0" applyFill="1" applyBorder="1"/>
    <xf numFmtId="0" fontId="0" fillId="5" borderId="9" xfId="0" applyFill="1" applyBorder="1" applyAlignment="1">
      <alignment horizontal="center" vertical="center"/>
    </xf>
    <xf numFmtId="44" fontId="0" fillId="7" borderId="9" xfId="1" applyFont="1" applyFill="1" applyBorder="1"/>
    <xf numFmtId="10" fontId="0" fillId="0" borderId="0" xfId="0" applyNumberFormat="1" applyAlignment="1">
      <alignment horizontal="center"/>
    </xf>
    <xf numFmtId="44" fontId="0" fillId="0" borderId="0" xfId="0" applyNumberFormat="1"/>
    <xf numFmtId="0" fontId="2" fillId="0" borderId="0" xfId="0" applyFon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E127E-DAC5-924E-9082-D9F7951F905F}">
  <dimension ref="B1:F7"/>
  <sheetViews>
    <sheetView tabSelected="1" workbookViewId="0">
      <selection activeCell="C10" sqref="C10"/>
    </sheetView>
  </sheetViews>
  <sheetFormatPr baseColWidth="10" defaultRowHeight="16" x14ac:dyDescent="0.2"/>
  <cols>
    <col min="2" max="2" width="19.5" customWidth="1"/>
    <col min="3" max="3" width="17.5" bestFit="1" customWidth="1"/>
    <col min="5" max="5" width="13.1640625" bestFit="1" customWidth="1"/>
  </cols>
  <sheetData>
    <row r="1" spans="2:6" ht="17" thickBot="1" x14ac:dyDescent="0.25"/>
    <row r="2" spans="2:6" x14ac:dyDescent="0.2">
      <c r="B2" s="20" t="s">
        <v>12</v>
      </c>
      <c r="C2" s="21" t="s">
        <v>13</v>
      </c>
      <c r="D2" t="s">
        <v>14</v>
      </c>
      <c r="E2" s="22">
        <v>12500</v>
      </c>
    </row>
    <row r="3" spans="2:6" ht="17" thickBot="1" x14ac:dyDescent="0.25">
      <c r="B3" s="23"/>
      <c r="C3" s="24"/>
    </row>
    <row r="4" spans="2:6" x14ac:dyDescent="0.2">
      <c r="B4" s="23"/>
      <c r="C4" s="25" t="s">
        <v>15</v>
      </c>
      <c r="D4" t="s">
        <v>16</v>
      </c>
    </row>
    <row r="5" spans="2:6" ht="17" thickBot="1" x14ac:dyDescent="0.25">
      <c r="B5" s="26"/>
      <c r="C5" s="27">
        <v>400000</v>
      </c>
      <c r="D5" s="28">
        <v>1.4999999999999999E-2</v>
      </c>
      <c r="E5" s="29">
        <f>D5*C5</f>
        <v>6000</v>
      </c>
      <c r="F5" s="30" t="str">
        <f ca="1">_xlfn.FORMULATEXT(E5)</f>
        <v>=D5*C5</v>
      </c>
    </row>
    <row r="7" spans="2:6" x14ac:dyDescent="0.2">
      <c r="B7" t="s">
        <v>17</v>
      </c>
    </row>
  </sheetData>
  <mergeCells count="1">
    <mergeCell ref="B2:B5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DC2B0-E2CB-BB40-BEF2-E1E8C55F5A3B}">
  <dimension ref="A1:E12"/>
  <sheetViews>
    <sheetView workbookViewId="0">
      <selection activeCell="F26" sqref="F26"/>
    </sheetView>
  </sheetViews>
  <sheetFormatPr baseColWidth="10" defaultRowHeight="16" x14ac:dyDescent="0.2"/>
  <cols>
    <col min="1" max="1" width="36" bestFit="1" customWidth="1"/>
    <col min="4" max="4" width="18.33203125" bestFit="1" customWidth="1"/>
  </cols>
  <sheetData>
    <row r="1" spans="1:5" x14ac:dyDescent="0.2">
      <c r="A1" s="1"/>
      <c r="B1" s="2"/>
      <c r="C1" s="2"/>
      <c r="D1" s="2"/>
    </row>
    <row r="2" spans="1:5" x14ac:dyDescent="0.2">
      <c r="A2" s="3" t="s">
        <v>0</v>
      </c>
      <c r="B2" s="4" t="s">
        <v>1</v>
      </c>
      <c r="C2" s="5"/>
      <c r="D2" s="6" t="s">
        <v>2</v>
      </c>
    </row>
    <row r="3" spans="1:5" x14ac:dyDescent="0.2">
      <c r="A3" s="7" t="s">
        <v>3</v>
      </c>
      <c r="B3" s="8">
        <v>735</v>
      </c>
      <c r="C3" s="2"/>
      <c r="D3" s="9" t="s">
        <v>4</v>
      </c>
    </row>
    <row r="4" spans="1:5" x14ac:dyDescent="0.2">
      <c r="A4" s="7" t="s">
        <v>5</v>
      </c>
      <c r="B4" s="8">
        <v>635</v>
      </c>
      <c r="C4" s="2"/>
      <c r="D4" s="2" t="s">
        <v>11</v>
      </c>
      <c r="E4" s="19">
        <v>0.133333333333333</v>
      </c>
    </row>
    <row r="5" spans="1:5" x14ac:dyDescent="0.2">
      <c r="A5" s="10" t="s">
        <v>6</v>
      </c>
      <c r="B5" s="11">
        <f>SUM(B3:B4)</f>
        <v>1370</v>
      </c>
      <c r="C5" s="2"/>
      <c r="D5" s="2"/>
    </row>
    <row r="6" spans="1:5" x14ac:dyDescent="0.2">
      <c r="A6" s="12" t="s">
        <v>7</v>
      </c>
      <c r="B6" s="13" t="s">
        <v>1</v>
      </c>
      <c r="C6" s="2"/>
      <c r="D6" s="2"/>
    </row>
    <row r="7" spans="1:5" x14ac:dyDescent="0.2">
      <c r="A7" s="7" t="s">
        <v>8</v>
      </c>
      <c r="B7" s="8">
        <v>370</v>
      </c>
      <c r="C7" s="2"/>
      <c r="D7" s="2"/>
    </row>
    <row r="8" spans="1:5" x14ac:dyDescent="0.2">
      <c r="A8" s="14" t="s">
        <v>9</v>
      </c>
      <c r="B8" s="15">
        <v>400</v>
      </c>
      <c r="C8" s="2"/>
      <c r="D8" s="2"/>
    </row>
    <row r="9" spans="1:5" x14ac:dyDescent="0.2">
      <c r="A9" s="14" t="s">
        <v>10</v>
      </c>
      <c r="B9" s="15">
        <v>600</v>
      </c>
      <c r="C9" s="2"/>
      <c r="D9" s="2"/>
    </row>
    <row r="10" spans="1:5" x14ac:dyDescent="0.2">
      <c r="A10" s="16" t="s">
        <v>6</v>
      </c>
      <c r="B10" s="17">
        <f>SUM(B7:B9)</f>
        <v>1370</v>
      </c>
      <c r="C10" s="2"/>
      <c r="D10" s="2"/>
    </row>
    <row r="11" spans="1:5" x14ac:dyDescent="0.2">
      <c r="A11" s="1"/>
      <c r="B11" s="18"/>
      <c r="C11" s="2"/>
      <c r="D11" s="2"/>
    </row>
    <row r="12" spans="1:5" x14ac:dyDescent="0.2">
      <c r="A12" s="1"/>
      <c r="B12" s="18"/>
      <c r="C12" s="2"/>
      <c r="D12" s="2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D511CDFD32BAE4DB6984ACFD1117AAF" ma:contentTypeVersion="16" ma:contentTypeDescription="Crie um novo documento." ma:contentTypeScope="" ma:versionID="e5a9bbd63fbf262578ba03fd80405270">
  <xsd:schema xmlns:xsd="http://www.w3.org/2001/XMLSchema" xmlns:xs="http://www.w3.org/2001/XMLSchema" xmlns:p="http://schemas.microsoft.com/office/2006/metadata/properties" xmlns:ns2="5e253ad8-99bc-4895-b377-eab5d2679348" xmlns:ns3="45bd9b4a-47bd-4c71-9096-100877aa1038" targetNamespace="http://schemas.microsoft.com/office/2006/metadata/properties" ma:root="true" ma:fieldsID="4b31c348399089d26e9ea4df2e2362e0" ns2:_="" ns3:_="">
    <xsd:import namespace="5e253ad8-99bc-4895-b377-eab5d2679348"/>
    <xsd:import namespace="45bd9b4a-47bd-4c71-9096-100877aa1038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253ad8-99bc-4895-b377-eab5d2679348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Marcações de imagem" ma:readOnly="false" ma:fieldId="{5cf76f15-5ced-4ddc-b409-7134ff3c332f}" ma:taxonomyMulti="true" ma:sspId="cf329bc3-ce7e-4e75-9c56-962f8f350e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bd9b4a-47bd-4c71-9096-100877aa1038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d1c5c36c-1c45-4119-aa3b-41677bff21c6}" ma:internalName="TaxCatchAll" ma:showField="CatchAllData" ma:web="45bd9b4a-47bd-4c71-9096-100877aa103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e253ad8-99bc-4895-b377-eab5d2679348">
      <Terms xmlns="http://schemas.microsoft.com/office/infopath/2007/PartnerControls"/>
    </lcf76f155ced4ddcb4097134ff3c332f>
    <TaxCatchAll xmlns="45bd9b4a-47bd-4c71-9096-100877aa1038" xsi:nil="true"/>
  </documentManagement>
</p:properties>
</file>

<file path=customXml/itemProps1.xml><?xml version="1.0" encoding="utf-8"?>
<ds:datastoreItem xmlns:ds="http://schemas.openxmlformats.org/officeDocument/2006/customXml" ds:itemID="{FCE1D0AC-57E0-424D-956C-4963BD5570C9}"/>
</file>

<file path=customXml/itemProps2.xml><?xml version="1.0" encoding="utf-8"?>
<ds:datastoreItem xmlns:ds="http://schemas.openxmlformats.org/officeDocument/2006/customXml" ds:itemID="{A133D2B4-D84C-4D66-8A68-6ADFFC975DEB}"/>
</file>

<file path=customXml/itemProps3.xml><?xml version="1.0" encoding="utf-8"?>
<ds:datastoreItem xmlns:ds="http://schemas.openxmlformats.org/officeDocument/2006/customXml" ds:itemID="{7B50AC84-5D96-46CC-A7CB-98DE4E9BA35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Caso Prático 1</vt:lpstr>
      <vt:lpstr>Caso Prático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Fabiano Guasti Lima</dc:creator>
  <cp:lastModifiedBy>Fabiano Guasti Lima</cp:lastModifiedBy>
  <dcterms:created xsi:type="dcterms:W3CDTF">2024-04-13T17:49:53Z</dcterms:created>
  <dcterms:modified xsi:type="dcterms:W3CDTF">2024-04-13T17:52:29Z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0x010100FD511CDFD32BAE4DB6984ACFD1117AAF</vt:lpwstr>
  </property>
</Properties>
</file>